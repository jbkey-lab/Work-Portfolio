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filterPrivacy="1" codeName="ThisWorkbook"/>
  <xr:revisionPtr revIDLastSave="375" documentId="8_{650C6DBA-4292-427F-9E73-081173A28EEF}" xr6:coauthVersionLast="47" xr6:coauthVersionMax="47" xr10:uidLastSave="{3290F6E3-C421-49A0-BA36-CD70EDE76414}"/>
  <bookViews>
    <workbookView xWindow="-120" yWindow="-120" windowWidth="51840" windowHeight="21120" xr2:uid="{00000000-000D-0000-FFFF-FFFF00000000}"/>
  </bookViews>
  <sheets>
    <sheet name="Template" sheetId="36" r:id="rId1"/>
  </sheets>
  <definedNames>
    <definedName name="_xlnm.Print_Area" localSheetId="0">Template!$B$1:$H$35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6" l="1"/>
  <c r="C7" i="36"/>
  <c r="F31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7" i="36"/>
  <c r="F33" i="36" l="1"/>
  <c r="F35" i="36" s="1"/>
</calcChain>
</file>

<file path=xl/sharedStrings.xml><?xml version="1.0" encoding="utf-8"?>
<sst xmlns="http://schemas.openxmlformats.org/spreadsheetml/2006/main" count="45" uniqueCount="45">
  <si>
    <t xml:space="preserve"> CALS Research Farms</t>
  </si>
  <si>
    <t>INVOICE</t>
  </si>
  <si>
    <t>103 Curtiss Hall</t>
  </si>
  <si>
    <t>Phone: (515) 295-5045</t>
  </si>
  <si>
    <t>Green areas are to be filled in by PIs and the orange areas will be filled in by farm managers</t>
  </si>
  <si>
    <t>BILL TO</t>
  </si>
  <si>
    <t>INVOICE #</t>
  </si>
  <si>
    <t>DATE</t>
  </si>
  <si>
    <t>Name</t>
  </si>
  <si>
    <t>Department</t>
  </si>
  <si>
    <t>PI Name</t>
  </si>
  <si>
    <t>Due Date</t>
  </si>
  <si>
    <t>2 Weeks</t>
  </si>
  <si>
    <t>Please insert a worktag and DD # for each line item.</t>
  </si>
  <si>
    <t>Project ID</t>
  </si>
  <si>
    <t>For work that occurred: January 1 through May 30, 2026</t>
  </si>
  <si>
    <t>DESCRIPTION</t>
  </si>
  <si>
    <t>QTY</t>
  </si>
  <si>
    <t>UNIT PRICE</t>
  </si>
  <si>
    <t>AMOUNT</t>
  </si>
  <si>
    <t>Worktag</t>
  </si>
  <si>
    <t>DD #</t>
  </si>
  <si>
    <t>Base Land Fee (Per Acre)</t>
  </si>
  <si>
    <t>Crop Destruct Fee (per Acre)</t>
  </si>
  <si>
    <t>Special Post-Emergence Pesticide Application (Per Acre)</t>
  </si>
  <si>
    <t>Planting Plots (Per Hour)</t>
  </si>
  <si>
    <t>Harvesting Plots (per plot)</t>
  </si>
  <si>
    <t>Plot Chopper (per plot)</t>
  </si>
  <si>
    <t>Cultivating/Rotary Hoe (per hour) - we do it</t>
  </si>
  <si>
    <t>Cultivating/Rotary Hoe (per hour) - you do it</t>
  </si>
  <si>
    <t>Machinery Transport (per mile)</t>
  </si>
  <si>
    <t>Failure to control weeds (per instance/field)</t>
  </si>
  <si>
    <t>Isolation Plots (per acre, 1 acre minimum)</t>
  </si>
  <si>
    <t>Dryer Charges (per cart per day)</t>
  </si>
  <si>
    <t>Dryer Charges (per pallot box per day)</t>
  </si>
  <si>
    <t>Cold Storage (per shelf per month)</t>
  </si>
  <si>
    <t>Cold Storage (per sq ft per month)</t>
  </si>
  <si>
    <t>Storage Units - North Machine Shed (per month - 135 sq ft)</t>
  </si>
  <si>
    <t>Farm Access Fee</t>
  </si>
  <si>
    <t>Thank  you for using CALS Research Farms</t>
  </si>
  <si>
    <t>If you have any questions about this invoice, please contact</t>
  </si>
  <si>
    <t>TOTAL</t>
  </si>
  <si>
    <t>Research Farm Manager</t>
  </si>
  <si>
    <t>BUDGETED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</si>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</sst>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9"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ptos"/>
      <family val="2"/>
      <scheme val="minor"/>
    </font>
    <font>
      <u/>
      <sz val="10"/>
      <color theme="11"/>
      <name val="Arial"/>
      <family val="2"/>
    </font>
    <font>
      <b/>
      <sz val="10"/>
      <name val="Aptos"/>
      <family val="2"/>
      <scheme val="minor"/>
    </font>
    <font>
      <sz val="11"/>
      <name val="Aptos"/>
      <family val="2"/>
      <scheme val="minor"/>
    </font>
    <font>
      <sz val="16"/>
      <name val="Aptos"/>
      <family val="2"/>
      <scheme val="minor"/>
    </font>
    <font>
      <b/>
      <sz val="9"/>
      <color theme="1" tint="0.34998626667073579"/>
      <name val="Aptos"/>
      <family val="2"/>
      <scheme val="minor"/>
    </font>
    <font>
      <sz val="10"/>
      <color theme="1" tint="0.34998626667073579"/>
      <name val="Aptos"/>
      <family val="2"/>
      <scheme val="minor"/>
    </font>
    <font>
      <b/>
      <sz val="10"/>
      <color theme="0"/>
      <name val="Aptos"/>
      <family val="2"/>
      <scheme val="minor"/>
    </font>
    <font>
      <b/>
      <i/>
      <sz val="10"/>
      <color theme="4" tint="-0.249977111117893"/>
      <name val="Aptos"/>
      <family val="2"/>
      <scheme val="minor"/>
    </font>
    <font>
      <sz val="12"/>
      <name val="Aptos"/>
      <family val="2"/>
      <scheme val="minor"/>
    </font>
    <font>
      <sz val="11"/>
      <color theme="1" tint="0.34998626667073579"/>
      <name val="Aptos"/>
      <family val="2"/>
      <scheme val="minor"/>
    </font>
    <font>
      <b/>
      <sz val="18"/>
      <color theme="4" tint="-0.499984740745262"/>
      <name val="Aptos"/>
      <family val="2"/>
      <scheme val="major"/>
    </font>
    <font>
      <sz val="36"/>
      <color theme="4" tint="-0.249977111117893"/>
      <name val="Aptos"/>
      <family val="2"/>
      <scheme val="major"/>
    </font>
    <font>
      <b/>
      <sz val="10"/>
      <color theme="0"/>
      <name val="Aptos"/>
      <family val="2"/>
      <scheme val="major"/>
    </font>
    <font>
      <b/>
      <sz val="10"/>
      <color theme="1" tint="0.34998626667073579"/>
      <name val="Aptos"/>
      <family val="2"/>
      <scheme val="major"/>
    </font>
    <font>
      <b/>
      <sz val="16"/>
      <color theme="0"/>
      <name val="Aptos"/>
      <family val="2"/>
      <scheme val="minor"/>
    </font>
    <font>
      <b/>
      <sz val="16"/>
      <color theme="0"/>
      <name val="Aptos"/>
      <family val="2"/>
      <scheme val="major"/>
    </font>
    <font>
      <sz val="11"/>
      <name val="Arial"/>
      <family val="2"/>
    </font>
    <font>
      <sz val="10"/>
      <color theme="0"/>
      <name val="Aptos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  <xf numFmtId="44" fontId="37" fillId="0" borderId="0" applyFont="0" applyFill="0" applyBorder="0" applyAlignment="0" applyProtection="0"/>
  </cellStyleXfs>
  <cellXfs count="57">
    <xf numFmtId="0" fontId="0" fillId="0" borderId="0" xfId="0"/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left" vertical="center" indent="1"/>
      <protection locked="0"/>
    </xf>
    <xf numFmtId="0" fontId="20" fillId="0" borderId="0" xfId="0" applyFont="1" applyAlignment="1" applyProtection="1">
      <alignment vertical="top"/>
      <protection locked="0"/>
    </xf>
    <xf numFmtId="0" fontId="20" fillId="0" borderId="0" xfId="0" applyFont="1"/>
    <xf numFmtId="0" fontId="25" fillId="0" borderId="0" xfId="34" applyFont="1" applyAlignment="1" applyProtection="1">
      <alignment horizontal="left"/>
    </xf>
    <xf numFmtId="0" fontId="20" fillId="0" borderId="0" xfId="0" applyFont="1" applyAlignment="1">
      <alignment vertical="center"/>
    </xf>
    <xf numFmtId="0" fontId="26" fillId="0" borderId="0" xfId="0" applyFont="1" applyAlignment="1">
      <alignment vertical="top"/>
    </xf>
    <xf numFmtId="0" fontId="20" fillId="0" borderId="0" xfId="0" applyFont="1" applyAlignment="1" applyProtection="1">
      <alignment vertical="center"/>
      <protection locked="0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22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 vertical="center" indent="1"/>
      <protection locked="0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0" fillId="21" borderId="14" xfId="0" applyFont="1" applyFill="1" applyBorder="1" applyAlignment="1" applyProtection="1">
      <alignment horizontal="left" vertical="center" indent="1"/>
      <protection locked="0"/>
    </xf>
    <xf numFmtId="0" fontId="20" fillId="21" borderId="14" xfId="0" applyFont="1" applyFill="1" applyBorder="1" applyAlignment="1" applyProtection="1">
      <alignment vertical="center"/>
      <protection locked="0"/>
    </xf>
    <xf numFmtId="0" fontId="20" fillId="21" borderId="10" xfId="0" applyFont="1" applyFill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left" vertical="center" indent="1"/>
      <protection locked="0"/>
    </xf>
    <xf numFmtId="0" fontId="20" fillId="0" borderId="15" xfId="0" applyFont="1" applyBorder="1" applyAlignment="1" applyProtection="1">
      <alignment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43" fontId="20" fillId="0" borderId="0" xfId="0" applyNumberFormat="1" applyFont="1" applyAlignment="1">
      <alignment vertical="center"/>
    </xf>
    <xf numFmtId="0" fontId="29" fillId="0" borderId="0" xfId="0" applyFont="1"/>
    <xf numFmtId="0" fontId="30" fillId="0" borderId="0" xfId="0" applyFont="1"/>
    <xf numFmtId="0" fontId="31" fillId="0" borderId="0" xfId="0" applyFont="1" applyAlignment="1" applyProtection="1">
      <alignment horizontal="left" vertical="center" indent="1"/>
      <protection locked="0"/>
    </xf>
    <xf numFmtId="0" fontId="33" fillId="20" borderId="0" xfId="0" applyFont="1" applyFill="1" applyAlignment="1">
      <alignment horizontal="left" vertical="center" indent="1"/>
    </xf>
    <xf numFmtId="0" fontId="33" fillId="20" borderId="0" xfId="0" applyFont="1" applyFill="1" applyAlignment="1">
      <alignment horizontal="center" vertical="center"/>
    </xf>
    <xf numFmtId="0" fontId="34" fillId="0" borderId="0" xfId="34" applyFont="1" applyAlignment="1" applyProtection="1">
      <alignment horizontal="left"/>
    </xf>
    <xf numFmtId="0" fontId="35" fillId="23" borderId="0" xfId="0" applyFont="1" applyFill="1" applyAlignment="1">
      <alignment horizontal="left" vertical="center" indent="1"/>
    </xf>
    <xf numFmtId="0" fontId="36" fillId="23" borderId="0" xfId="0" applyFont="1" applyFill="1" applyAlignment="1">
      <alignment horizontal="left" vertical="center" indent="1"/>
    </xf>
    <xf numFmtId="42" fontId="36" fillId="23" borderId="0" xfId="0" applyNumberFormat="1" applyFont="1" applyFill="1" applyAlignment="1">
      <alignment vertical="center"/>
    </xf>
    <xf numFmtId="0" fontId="20" fillId="0" borderId="0" xfId="0" applyFont="1" applyAlignment="1" applyProtection="1">
      <alignment horizontal="right" vertical="center" indent="1"/>
      <protection locked="0"/>
    </xf>
    <xf numFmtId="42" fontId="36" fillId="24" borderId="0" xfId="0" applyNumberFormat="1" applyFont="1" applyFill="1" applyAlignment="1">
      <alignment vertical="center"/>
    </xf>
    <xf numFmtId="14" fontId="22" fillId="0" borderId="0" xfId="0" applyNumberFormat="1" applyFont="1" applyAlignment="1">
      <alignment horizontal="right" vertical="center" indent="1"/>
    </xf>
    <xf numFmtId="44" fontId="20" fillId="21" borderId="11" xfId="45" applyFont="1" applyFill="1" applyBorder="1" applyAlignment="1">
      <alignment vertical="center"/>
    </xf>
    <xf numFmtId="44" fontId="20" fillId="0" borderId="13" xfId="45" applyFont="1" applyBorder="1" applyAlignment="1">
      <alignment vertical="center"/>
    </xf>
    <xf numFmtId="44" fontId="20" fillId="21" borderId="10" xfId="45" applyFont="1" applyFill="1" applyBorder="1" applyAlignment="1" applyProtection="1">
      <alignment vertical="center"/>
      <protection locked="0"/>
    </xf>
    <xf numFmtId="44" fontId="20" fillId="0" borderId="12" xfId="45" applyFont="1" applyBorder="1" applyAlignment="1" applyProtection="1">
      <alignment vertical="center"/>
      <protection locked="0"/>
    </xf>
    <xf numFmtId="0" fontId="23" fillId="24" borderId="12" xfId="0" applyFont="1" applyFill="1" applyBorder="1"/>
    <xf numFmtId="0" fontId="26" fillId="24" borderId="12" xfId="0" applyFont="1" applyFill="1" applyBorder="1" applyAlignment="1">
      <alignment vertical="center"/>
    </xf>
    <xf numFmtId="0" fontId="26" fillId="24" borderId="12" xfId="0" applyFont="1" applyFill="1" applyBorder="1"/>
    <xf numFmtId="0" fontId="38" fillId="0" borderId="0" xfId="0" applyFont="1" applyAlignment="1">
      <alignment vertical="center"/>
    </xf>
    <xf numFmtId="0" fontId="20" fillId="25" borderId="0" xfId="0" applyFont="1" applyFill="1" applyAlignment="1">
      <alignment vertical="center"/>
    </xf>
    <xf numFmtId="0" fontId="22" fillId="25" borderId="0" xfId="0" applyFont="1" applyFill="1" applyAlignment="1">
      <alignment horizontal="left" vertical="center" indent="1"/>
    </xf>
    <xf numFmtId="0" fontId="20" fillId="25" borderId="0" xfId="0" applyFont="1" applyFill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right"/>
    </xf>
    <xf numFmtId="0" fontId="33" fillId="20" borderId="0" xfId="0" applyFont="1" applyFill="1" applyAlignment="1">
      <alignment horizontal="left" vertical="center" indent="1"/>
    </xf>
    <xf numFmtId="0" fontId="28" fillId="2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22" fillId="0" borderId="0" xfId="0" applyFont="1" applyAlignment="1" applyProtection="1">
      <alignment horizontal="right" vertical="center"/>
      <protection locked="0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5" builtinId="4"/>
    <cellStyle name="Explanatory Text" xfId="28" builtinId="53" customBuiltin="1"/>
    <cellStyle name="Followed Hyperlink" xfId="43" builtinId="9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rmal 2" xfId="44" xr:uid="{00000000-0005-0000-0000-000027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imple service invo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C5D99"/>
      </a:accent1>
      <a:accent2>
        <a:srgbClr val="1768AC"/>
      </a:accent2>
      <a:accent3>
        <a:srgbClr val="1C3738"/>
      </a:accent3>
      <a:accent4>
        <a:srgbClr val="833B61"/>
      </a:accent4>
      <a:accent5>
        <a:srgbClr val="8B85C1"/>
      </a:accent5>
      <a:accent6>
        <a:srgbClr val="C5D86D"/>
      </a:accent6>
      <a:hlink>
        <a:srgbClr val="467886"/>
      </a:hlink>
      <a:folHlink>
        <a:srgbClr val="96607D"/>
      </a:folHlink>
    </a:clrScheme>
    <a:fontScheme name="Custom 22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61EB-BA87-43AD-BCCE-C32A29206529}">
  <sheetPr>
    <tabColor theme="4" tint="0.59999389629810485"/>
    <pageSetUpPr fitToPage="1"/>
  </sheetPr>
  <dimension ref="B1:I41"/>
  <sheetViews>
    <sheetView showGridLines="0" tabSelected="1" zoomScale="130" zoomScaleNormal="130" workbookViewId="0">
      <selection activeCell="C4" sqref="C4"/>
    </sheetView>
  </sheetViews>
  <sheetFormatPr defaultColWidth="9" defaultRowHeight="15"/>
  <cols>
    <col min="1" max="1" width="3.875" style="1" customWidth="1"/>
    <col min="2" max="2" width="40.875" style="1" customWidth="1"/>
    <col min="3" max="3" width="10.875" style="1" customWidth="1"/>
    <col min="4" max="4" width="5.875" style="1" customWidth="1"/>
    <col min="5" max="5" width="18.875" style="1" customWidth="1"/>
    <col min="6" max="6" width="15.625" style="1" customWidth="1"/>
    <col min="7" max="7" width="11.75" style="1" customWidth="1"/>
    <col min="8" max="8" width="10.25" style="1" customWidth="1"/>
    <col min="9" max="16384" width="9" style="1"/>
  </cols>
  <sheetData>
    <row r="1" spans="2:9" ht="46.5" customHeight="1">
      <c r="B1" s="28" t="s">
        <v>0</v>
      </c>
      <c r="C1" s="3"/>
      <c r="E1" s="52" t="s">
        <v>1</v>
      </c>
      <c r="F1" s="52"/>
    </row>
    <row r="2" spans="2:9" ht="15" customHeight="1">
      <c r="B2" s="4" t="s">
        <v>2</v>
      </c>
      <c r="C2" s="5"/>
      <c r="D2" s="6"/>
      <c r="E2" s="6"/>
      <c r="F2" s="6"/>
      <c r="H2" s="31"/>
      <c r="I2" s="7"/>
    </row>
    <row r="3" spans="2:9" ht="15" customHeight="1">
      <c r="B3" s="4"/>
      <c r="C3" s="8"/>
      <c r="D3" s="6"/>
      <c r="E3" s="6"/>
      <c r="F3" s="6"/>
      <c r="H3" s="9"/>
      <c r="I3" s="9"/>
    </row>
    <row r="4" spans="2:9" ht="15" customHeight="1">
      <c r="B4" s="4" t="s">
        <v>3</v>
      </c>
      <c r="C4" s="10"/>
      <c r="D4" s="11"/>
      <c r="H4" s="12"/>
    </row>
    <row r="5" spans="2:9" ht="15" customHeight="1">
      <c r="B5" s="13"/>
      <c r="C5" s="8"/>
      <c r="D5" s="14"/>
      <c r="G5" s="50" t="s">
        <v>4</v>
      </c>
      <c r="H5" s="51"/>
    </row>
    <row r="6" spans="2:9" ht="15" customHeight="1">
      <c r="B6" s="53" t="s">
        <v>5</v>
      </c>
      <c r="C6" s="53"/>
      <c r="D6" s="11"/>
      <c r="E6" s="29" t="s">
        <v>6</v>
      </c>
      <c r="F6" s="29" t="s">
        <v>7</v>
      </c>
      <c r="G6" s="51"/>
      <c r="H6" s="51"/>
    </row>
    <row r="7" spans="2:9" ht="15" customHeight="1">
      <c r="B7" s="48" t="s">
        <v>8</v>
      </c>
      <c r="C7" s="56" t="str">
        <f>CONCATENATE("2026","-",E10,"-",E12)</f>
        <v>2026--</v>
      </c>
      <c r="D7" s="56"/>
      <c r="E7" s="56"/>
      <c r="F7" s="37">
        <f ca="1">TODAY()</f>
        <v>46139</v>
      </c>
      <c r="G7" s="51"/>
      <c r="H7" s="51"/>
    </row>
    <row r="8" spans="2:9" ht="15" customHeight="1">
      <c r="B8" s="48" t="s">
        <v>9</v>
      </c>
      <c r="C8" s="10"/>
      <c r="D8" s="8"/>
      <c r="E8" s="4"/>
      <c r="F8" s="17"/>
      <c r="G8" s="51"/>
      <c r="H8" s="51"/>
    </row>
    <row r="9" spans="2:9" ht="15" customHeight="1">
      <c r="B9" s="15"/>
      <c r="C9" s="10"/>
      <c r="D9" s="8"/>
      <c r="E9" s="29" t="s">
        <v>10</v>
      </c>
      <c r="F9" s="29" t="s">
        <v>11</v>
      </c>
      <c r="G9" s="51"/>
      <c r="H9" s="51"/>
    </row>
    <row r="10" spans="2:9" ht="15" customHeight="1">
      <c r="C10" s="10"/>
      <c r="D10" s="8"/>
      <c r="E10" s="47"/>
      <c r="F10" s="18" t="s">
        <v>12</v>
      </c>
      <c r="G10" s="49" t="s">
        <v>13</v>
      </c>
      <c r="H10" s="49"/>
    </row>
    <row r="11" spans="2:9" ht="15" customHeight="1">
      <c r="B11" s="15"/>
      <c r="C11" s="10"/>
      <c r="D11" s="8"/>
      <c r="E11" s="29" t="s">
        <v>14</v>
      </c>
      <c r="F11" s="8"/>
      <c r="G11" s="49"/>
      <c r="H11" s="49"/>
    </row>
    <row r="12" spans="2:9" ht="15" customHeight="1">
      <c r="B12" s="15" t="s">
        <v>15</v>
      </c>
      <c r="C12" s="45"/>
      <c r="D12" s="8"/>
      <c r="E12" s="46"/>
      <c r="F12" s="8"/>
      <c r="G12" s="49"/>
      <c r="H12" s="49"/>
    </row>
    <row r="13" spans="2:9" ht="15" customHeight="1">
      <c r="B13" s="35"/>
      <c r="C13" s="45"/>
      <c r="D13" s="8"/>
      <c r="E13" s="8"/>
      <c r="F13" s="8"/>
      <c r="G13" s="49"/>
      <c r="H13" s="49"/>
    </row>
    <row r="14" spans="2:9" ht="20.100000000000001" customHeight="1">
      <c r="B14" s="29" t="s">
        <v>16</v>
      </c>
      <c r="C14" s="29"/>
      <c r="D14" s="30" t="s">
        <v>17</v>
      </c>
      <c r="E14" s="30" t="s">
        <v>18</v>
      </c>
      <c r="F14" s="30" t="s">
        <v>19</v>
      </c>
      <c r="G14" s="30" t="s">
        <v>20</v>
      </c>
      <c r="H14" s="30" t="s">
        <v>21</v>
      </c>
    </row>
    <row r="15" spans="2:9" ht="20.100000000000001" customHeight="1">
      <c r="B15" s="19" t="s">
        <v>22</v>
      </c>
      <c r="C15" s="20"/>
      <c r="D15" s="21">
        <v>0</v>
      </c>
      <c r="E15" s="40">
        <v>336</v>
      </c>
      <c r="F15" s="38">
        <f>IF(D15="",ROUND(1*E15,2),ROUND(D15*E15,2))</f>
        <v>0</v>
      </c>
      <c r="G15" s="42"/>
      <c r="H15" s="42"/>
    </row>
    <row r="16" spans="2:9" ht="20.100000000000001" customHeight="1">
      <c r="B16" s="22" t="s">
        <v>23</v>
      </c>
      <c r="C16" s="23"/>
      <c r="D16" s="24">
        <v>0</v>
      </c>
      <c r="E16" s="41">
        <v>100</v>
      </c>
      <c r="F16" s="39">
        <f t="shared" ref="F16:F31" si="0">IF(D16="",ROUND(1*E16,2),ROUND(D16*E16,2))</f>
        <v>0</v>
      </c>
      <c r="G16" s="42"/>
      <c r="H16" s="43"/>
    </row>
    <row r="17" spans="2:8" ht="20.100000000000001" customHeight="1">
      <c r="B17" s="22" t="s">
        <v>24</v>
      </c>
      <c r="C17" s="23"/>
      <c r="D17" s="24">
        <v>0</v>
      </c>
      <c r="E17" s="41">
        <v>50</v>
      </c>
      <c r="F17" s="39">
        <f t="shared" si="0"/>
        <v>0</v>
      </c>
      <c r="G17" s="42"/>
      <c r="H17" s="43"/>
    </row>
    <row r="18" spans="2:8" ht="20.100000000000001" customHeight="1">
      <c r="B18" s="22" t="s">
        <v>25</v>
      </c>
      <c r="C18" s="23"/>
      <c r="D18" s="24">
        <v>0</v>
      </c>
      <c r="E18" s="41">
        <v>150</v>
      </c>
      <c r="F18" s="39">
        <f t="shared" si="0"/>
        <v>0</v>
      </c>
      <c r="G18" s="42"/>
      <c r="H18" s="44"/>
    </row>
    <row r="19" spans="2:8" ht="20.100000000000001" customHeight="1">
      <c r="B19" s="22" t="s">
        <v>26</v>
      </c>
      <c r="C19" s="23"/>
      <c r="D19" s="24">
        <v>0</v>
      </c>
      <c r="E19" s="41">
        <v>15</v>
      </c>
      <c r="F19" s="39">
        <f t="shared" si="0"/>
        <v>0</v>
      </c>
      <c r="G19" s="42"/>
      <c r="H19" s="44"/>
    </row>
    <row r="20" spans="2:8" ht="20.100000000000001" customHeight="1">
      <c r="B20" s="22" t="s">
        <v>27</v>
      </c>
      <c r="C20" s="23"/>
      <c r="D20" s="24">
        <v>0</v>
      </c>
      <c r="E20" s="41">
        <v>7</v>
      </c>
      <c r="F20" s="39">
        <f t="shared" si="0"/>
        <v>0</v>
      </c>
      <c r="G20" s="42"/>
      <c r="H20" s="44"/>
    </row>
    <row r="21" spans="2:8" ht="20.100000000000001" customHeight="1">
      <c r="B21" s="22" t="s">
        <v>28</v>
      </c>
      <c r="C21" s="23"/>
      <c r="D21" s="24">
        <v>0</v>
      </c>
      <c r="E21" s="41">
        <v>82</v>
      </c>
      <c r="F21" s="39">
        <f t="shared" si="0"/>
        <v>0</v>
      </c>
      <c r="G21" s="42"/>
      <c r="H21" s="44"/>
    </row>
    <row r="22" spans="2:8" ht="20.100000000000001" customHeight="1">
      <c r="B22" s="22" t="s">
        <v>29</v>
      </c>
      <c r="D22" s="24">
        <v>0</v>
      </c>
      <c r="E22" s="41">
        <v>51</v>
      </c>
      <c r="F22" s="39">
        <f t="shared" si="0"/>
        <v>0</v>
      </c>
      <c r="G22" s="42"/>
      <c r="H22" s="44"/>
    </row>
    <row r="23" spans="2:8" ht="20.100000000000001" customHeight="1">
      <c r="B23" s="22" t="s">
        <v>30</v>
      </c>
      <c r="C23" s="23"/>
      <c r="D23" s="24">
        <v>0</v>
      </c>
      <c r="E23" s="41">
        <v>5</v>
      </c>
      <c r="F23" s="39">
        <f t="shared" si="0"/>
        <v>0</v>
      </c>
      <c r="G23" s="42"/>
      <c r="H23" s="44"/>
    </row>
    <row r="24" spans="2:8" ht="20.100000000000001" customHeight="1">
      <c r="B24" s="22" t="s">
        <v>31</v>
      </c>
      <c r="C24" s="23"/>
      <c r="D24" s="24">
        <v>0</v>
      </c>
      <c r="E24" s="41">
        <v>1500</v>
      </c>
      <c r="F24" s="39">
        <f t="shared" si="0"/>
        <v>0</v>
      </c>
      <c r="G24" s="42"/>
      <c r="H24" s="44"/>
    </row>
    <row r="25" spans="2:8" ht="20.100000000000001" customHeight="1">
      <c r="B25" s="22" t="s">
        <v>32</v>
      </c>
      <c r="C25" s="23"/>
      <c r="D25" s="24">
        <v>0</v>
      </c>
      <c r="E25" s="41">
        <v>1500</v>
      </c>
      <c r="F25" s="39">
        <f t="shared" si="0"/>
        <v>0</v>
      </c>
      <c r="G25" s="42"/>
      <c r="H25" s="44"/>
    </row>
    <row r="26" spans="2:8" ht="20.100000000000001" customHeight="1">
      <c r="B26" s="22" t="s">
        <v>33</v>
      </c>
      <c r="C26" s="23"/>
      <c r="D26" s="24">
        <v>0</v>
      </c>
      <c r="E26" s="41">
        <v>3</v>
      </c>
      <c r="F26" s="39">
        <f t="shared" si="0"/>
        <v>0</v>
      </c>
      <c r="G26" s="42"/>
      <c r="H26" s="44"/>
    </row>
    <row r="27" spans="2:8" ht="20.100000000000001" customHeight="1">
      <c r="B27" s="22" t="s">
        <v>34</v>
      </c>
      <c r="C27" s="23"/>
      <c r="D27" s="24">
        <v>0</v>
      </c>
      <c r="E27" s="41">
        <v>25</v>
      </c>
      <c r="F27" s="39">
        <f t="shared" si="0"/>
        <v>0</v>
      </c>
      <c r="G27" s="42"/>
      <c r="H27" s="44"/>
    </row>
    <row r="28" spans="2:8" ht="20.100000000000001" customHeight="1">
      <c r="B28" s="22" t="s">
        <v>35</v>
      </c>
      <c r="C28" s="23"/>
      <c r="D28" s="24">
        <v>0</v>
      </c>
      <c r="E28" s="41">
        <v>5</v>
      </c>
      <c r="F28" s="39">
        <f t="shared" si="0"/>
        <v>0</v>
      </c>
      <c r="G28" s="42"/>
      <c r="H28" s="44"/>
    </row>
    <row r="29" spans="2:8" ht="20.100000000000001" customHeight="1">
      <c r="B29" s="22" t="s">
        <v>36</v>
      </c>
      <c r="C29" s="23"/>
      <c r="D29" s="24">
        <v>0</v>
      </c>
      <c r="E29" s="41">
        <v>1</v>
      </c>
      <c r="F29" s="39">
        <f t="shared" si="0"/>
        <v>0</v>
      </c>
      <c r="G29" s="42"/>
      <c r="H29" s="44"/>
    </row>
    <row r="30" spans="2:8" ht="20.100000000000001" customHeight="1">
      <c r="B30" s="22" t="s">
        <v>37</v>
      </c>
      <c r="C30" s="23"/>
      <c r="D30" s="24">
        <v>0</v>
      </c>
      <c r="E30" s="41">
        <v>40</v>
      </c>
      <c r="F30" s="39">
        <f t="shared" si="0"/>
        <v>0</v>
      </c>
      <c r="G30" s="42"/>
      <c r="H30" s="44"/>
    </row>
    <row r="31" spans="2:8" ht="20.100000000000001" customHeight="1">
      <c r="B31" s="22" t="s">
        <v>38</v>
      </c>
      <c r="C31" s="23"/>
      <c r="D31" s="24">
        <v>0</v>
      </c>
      <c r="E31" s="41">
        <v>150</v>
      </c>
      <c r="F31" s="39">
        <f t="shared" si="0"/>
        <v>0</v>
      </c>
      <c r="G31" s="42"/>
      <c r="H31" s="44"/>
    </row>
    <row r="32" spans="2:8" s="2" customFormat="1" ht="20.100000000000001" customHeight="1">
      <c r="B32" s="54" t="s">
        <v>39</v>
      </c>
      <c r="C32" s="54"/>
      <c r="D32" s="55"/>
      <c r="E32" s="55"/>
      <c r="F32" s="25"/>
      <c r="H32" s="12"/>
    </row>
    <row r="33" spans="2:8" ht="25.15" customHeight="1">
      <c r="B33" s="13" t="s">
        <v>40</v>
      </c>
      <c r="C33" s="26"/>
      <c r="D33" s="32" t="s">
        <v>41</v>
      </c>
      <c r="E33" s="33"/>
      <c r="F33" s="34">
        <f>SUM(F15:F29)</f>
        <v>0</v>
      </c>
      <c r="H33" s="12"/>
    </row>
    <row r="34" spans="2:8" ht="25.15" customHeight="1">
      <c r="B34" s="16" t="s">
        <v>42</v>
      </c>
      <c r="C34" s="6"/>
      <c r="D34" s="32" t="s">
        <v>43</v>
      </c>
      <c r="E34" s="33"/>
      <c r="F34" s="36"/>
      <c r="H34" s="12"/>
    </row>
    <row r="35" spans="2:8" ht="25.15" customHeight="1">
      <c r="B35" s="6"/>
      <c r="C35" s="6"/>
      <c r="D35" s="32" t="s">
        <v>44</v>
      </c>
      <c r="E35" s="33"/>
      <c r="F35" s="34">
        <f>F34-F33</f>
        <v>0</v>
      </c>
      <c r="H35" s="12"/>
    </row>
    <row r="36" spans="2:8" ht="20.100000000000001" customHeight="1">
      <c r="H36" s="27"/>
    </row>
    <row r="37" spans="2:8" ht="20.100000000000001" customHeight="1"/>
    <row r="38" spans="2:8" ht="20.100000000000001" customHeight="1"/>
    <row r="39" spans="2:8" ht="20.100000000000001" customHeight="1"/>
    <row r="40" spans="2:8" ht="20.100000000000001" customHeight="1"/>
    <row r="41" spans="2:8" ht="20.100000000000001" customHeight="1"/>
  </sheetData>
  <mergeCells count="7">
    <mergeCell ref="G10:H13"/>
    <mergeCell ref="G5:H9"/>
    <mergeCell ref="E1:F1"/>
    <mergeCell ref="B6:C6"/>
    <mergeCell ref="B32:C32"/>
    <mergeCell ref="D32:E32"/>
    <mergeCell ref="C7:E7"/>
  </mergeCells>
  <dataValidations count="1">
    <dataValidation type="list" allowBlank="1" showInputMessage="1" showErrorMessage="1" sqref="E1" xr:uid="{7D7E4766-E62A-4649-A07F-24A4C186E3BA}">
      <formula1>"INVOICE,RECEIPT"</formula1>
    </dataValidation>
  </dataValidations>
  <printOptions horizontalCentered="1"/>
  <pageMargins left="0.25" right="0.25" top="0.75" bottom="0.75" header="0.3" footer="0.3"/>
  <pageSetup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28BB7517C9946AB00E30E46AD6747" ma:contentTypeVersion="11" ma:contentTypeDescription="Create a new document." ma:contentTypeScope="" ma:versionID="ddcd87caa086f9e78809cf7174ae1da3">
  <xsd:schema xmlns:xsd="http://www.w3.org/2001/XMLSchema" xmlns:xs="http://www.w3.org/2001/XMLSchema" xmlns:p="http://schemas.microsoft.com/office/2006/metadata/properties" xmlns:ns2="15ad69f5-6732-4122-b091-82206d2ae624" targetNamespace="http://schemas.microsoft.com/office/2006/metadata/properties" ma:root="true" ma:fieldsID="ea182179b6e09daa67f6b2a8e786f77e" ns2:_="">
    <xsd:import namespace="15ad69f5-6732-4122-b091-82206d2ae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d69f5-6732-4122-b091-82206d2ae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ad69f5-6732-4122-b091-82206d2ae6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2C6076-3E7F-4885-A017-B36671B5853A}"/>
</file>

<file path=customXml/itemProps2.xml><?xml version="1.0" encoding="utf-8"?>
<ds:datastoreItem xmlns:ds="http://schemas.openxmlformats.org/officeDocument/2006/customXml" ds:itemID="{89389A60-5226-452F-8BC1-07F5D2857243}"/>
</file>

<file path=customXml/itemProps3.xml><?xml version="1.0" encoding="utf-8"?>
<ds:datastoreItem xmlns:ds="http://schemas.openxmlformats.org/officeDocument/2006/customXml" ds:itemID="{D626D1C8-EC9A-4213-BF72-F97E82B4EAAA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Lamkey, Kendall R [AGLS]</cp:lastModifiedBy>
  <cp:revision/>
  <dcterms:created xsi:type="dcterms:W3CDTF">2023-11-06T16:37:56Z</dcterms:created>
  <dcterms:modified xsi:type="dcterms:W3CDTF">2026-04-27T14:33:17Z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0x0101004D828BB7517C9946AB00E30E46AD6747</vt:lpwstr>
  </property>
  <property fmtid="{D5CDD505-2E9C-101B-9397-08002B2CF9AE}" pid="3" name="MediaServiceImageTags">
    <vt:lpwstr/>
  </property>
</Properties>
</file>