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blamkey\Documents\AEAInvoice\"/>
    </mc:Choice>
  </mc:AlternateContent>
  <xr:revisionPtr revIDLastSave="0" documentId="13_ncr:1_{1FC833A2-C276-4826-A159-A5F6EBF8B905}" xr6:coauthVersionLast="47" xr6:coauthVersionMax="47" xr10:uidLastSave="{00000000-0000-0000-0000-000000000000}"/>
  <bookViews>
    <workbookView xWindow="-110" yWindow="-110" windowWidth="19420" windowHeight="11500" xr2:uid="{A542D9BF-082B-4DC3-9434-6C1E089AD6F7}"/>
  </bookViews>
  <sheets>
    <sheet name="Sheet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58" i="3" l="1"/>
  <c r="BE58" i="3" s="1"/>
  <c r="CH58" i="3"/>
  <c r="CI58" i="3"/>
  <c r="BG57" i="3"/>
  <c r="BE57" i="3" s="1"/>
  <c r="CH57" i="3"/>
  <c r="CI57" i="3" s="1"/>
  <c r="BG56" i="3"/>
  <c r="BE56" i="3" s="1"/>
  <c r="CH56" i="3"/>
  <c r="CI56" i="3"/>
  <c r="BG55" i="3"/>
  <c r="BE55" i="3" s="1"/>
  <c r="CH55" i="3"/>
  <c r="CI55" i="3"/>
  <c r="BG54" i="3"/>
  <c r="BE54" i="3" s="1"/>
  <c r="CH54" i="3"/>
  <c r="CI54" i="3"/>
  <c r="BG53" i="3"/>
  <c r="BE53" i="3" s="1"/>
  <c r="CH53" i="3"/>
  <c r="CI53" i="3"/>
  <c r="BG52" i="3"/>
  <c r="BE52" i="3" s="1"/>
  <c r="CH52" i="3"/>
  <c r="CI52" i="3"/>
  <c r="BG51" i="3"/>
  <c r="BE51" i="3" s="1"/>
  <c r="CH51" i="3"/>
  <c r="CI51" i="3"/>
  <c r="BG50" i="3"/>
  <c r="BE50" i="3" s="1"/>
  <c r="CH50" i="3"/>
  <c r="CI50" i="3"/>
  <c r="BG49" i="3"/>
  <c r="BE49" i="3" s="1"/>
  <c r="CH49" i="3"/>
  <c r="CI49" i="3"/>
  <c r="BG48" i="3"/>
  <c r="BE48" i="3" s="1"/>
  <c r="CH48" i="3"/>
  <c r="CI48" i="3" s="1"/>
  <c r="BG47" i="3"/>
  <c r="BE47" i="3" s="1"/>
  <c r="CH47" i="3"/>
  <c r="CI47" i="3"/>
  <c r="BG46" i="3"/>
  <c r="BE46" i="3" s="1"/>
  <c r="CH46" i="3"/>
  <c r="CI46" i="3" s="1"/>
  <c r="BG45" i="3"/>
  <c r="BE45" i="3" s="1"/>
  <c r="CH45" i="3"/>
  <c r="CI45" i="3" s="1"/>
  <c r="BG44" i="3"/>
  <c r="BE44" i="3" s="1"/>
  <c r="CH44" i="3"/>
  <c r="CI44" i="3" s="1"/>
  <c r="BG43" i="3"/>
  <c r="BE43" i="3" s="1"/>
  <c r="CH43" i="3"/>
  <c r="CI43" i="3" s="1"/>
  <c r="BG38" i="3"/>
  <c r="BF38" i="3" s="1"/>
  <c r="BG39" i="3"/>
  <c r="BE39" i="3" s="1"/>
  <c r="BG40" i="3"/>
  <c r="BE40" i="3" s="1"/>
  <c r="BG41" i="3"/>
  <c r="BE41" i="3" s="1"/>
  <c r="BG42" i="3"/>
  <c r="BE42" i="3" s="1"/>
  <c r="CH42" i="3"/>
  <c r="CI42" i="3" s="1"/>
  <c r="CH41" i="3"/>
  <c r="CI41" i="3" s="1"/>
  <c r="CH40" i="3"/>
  <c r="CI40" i="3" s="1"/>
  <c r="CH39" i="3"/>
  <c r="CI39" i="3" s="1"/>
  <c r="CH38" i="3"/>
  <c r="CI38" i="3" s="1"/>
  <c r="CH2" i="3"/>
  <c r="CI2" i="3" s="1"/>
  <c r="CH3" i="3"/>
  <c r="CI3" i="3" s="1"/>
  <c r="CH5" i="3"/>
  <c r="CI5" i="3" s="1"/>
  <c r="CH6" i="3"/>
  <c r="CI6" i="3" s="1"/>
  <c r="CH8" i="3"/>
  <c r="CI8" i="3" s="1"/>
  <c r="CH9" i="3"/>
  <c r="CI9" i="3" s="1"/>
  <c r="CH10" i="3"/>
  <c r="CI10" i="3" s="1"/>
  <c r="CH12" i="3"/>
  <c r="CI12" i="3" s="1"/>
  <c r="CH13" i="3"/>
  <c r="CI13" i="3" s="1"/>
  <c r="CH14" i="3"/>
  <c r="CI14" i="3" s="1"/>
  <c r="CH16" i="3"/>
  <c r="CI16" i="3" s="1"/>
  <c r="CH17" i="3"/>
  <c r="CI17" i="3" s="1"/>
  <c r="CH18" i="3"/>
  <c r="CI18" i="3" s="1"/>
  <c r="CH20" i="3"/>
  <c r="CI20" i="3" s="1"/>
  <c r="CH21" i="3"/>
  <c r="CI21" i="3" s="1"/>
  <c r="CH23" i="3"/>
  <c r="CI23" i="3" s="1"/>
  <c r="CH24" i="3"/>
  <c r="CI24" i="3" s="1"/>
  <c r="CH25" i="3"/>
  <c r="CI25" i="3" s="1"/>
  <c r="CH28" i="3"/>
  <c r="CI28" i="3" s="1"/>
  <c r="CH29" i="3"/>
  <c r="CI29" i="3" s="1"/>
  <c r="CH31" i="3"/>
  <c r="CI31" i="3" s="1"/>
  <c r="CH33" i="3"/>
  <c r="CI33" i="3" s="1"/>
  <c r="CH35" i="3"/>
  <c r="CI35" i="3" s="1"/>
  <c r="CH36" i="3"/>
  <c r="CI36" i="3" s="1"/>
  <c r="CH37" i="3"/>
  <c r="CI37" i="3" s="1"/>
  <c r="CH26" i="3"/>
  <c r="CI26" i="3" s="1"/>
  <c r="CH19" i="3"/>
  <c r="CI19" i="3" s="1"/>
  <c r="CH27" i="3"/>
  <c r="CI27" i="3" s="1"/>
  <c r="CH32" i="3"/>
  <c r="CI32" i="3" s="1"/>
  <c r="CH11" i="3"/>
  <c r="CI11" i="3" s="1"/>
  <c r="CH22" i="3"/>
  <c r="CI22" i="3" s="1"/>
  <c r="CH30" i="3"/>
  <c r="CI30" i="3" s="1"/>
  <c r="CH7" i="3"/>
  <c r="CI7" i="3" s="1"/>
  <c r="CH15" i="3"/>
  <c r="CI15" i="3" s="1"/>
  <c r="CH34" i="3"/>
  <c r="CI34" i="3" s="1"/>
  <c r="CH4" i="3"/>
  <c r="CI4" i="3" s="1"/>
  <c r="BG34" i="3"/>
  <c r="BE34" i="3" s="1"/>
  <c r="BG2" i="3"/>
  <c r="BE2" i="3" s="1"/>
  <c r="BG3" i="3"/>
  <c r="BF3" i="3" s="1"/>
  <c r="BG5" i="3"/>
  <c r="BE5" i="3" s="1"/>
  <c r="BG6" i="3"/>
  <c r="BF6" i="3" s="1"/>
  <c r="BG8" i="3"/>
  <c r="BF8" i="3" s="1"/>
  <c r="BG9" i="3"/>
  <c r="BF9" i="3" s="1"/>
  <c r="BG10" i="3"/>
  <c r="BF10" i="3" s="1"/>
  <c r="BG12" i="3"/>
  <c r="BF12" i="3" s="1"/>
  <c r="BG13" i="3"/>
  <c r="BF13" i="3" s="1"/>
  <c r="BG14" i="3"/>
  <c r="BF14" i="3" s="1"/>
  <c r="BG16" i="3"/>
  <c r="BE16" i="3" s="1"/>
  <c r="BG17" i="3"/>
  <c r="BE17" i="3" s="1"/>
  <c r="BG18" i="3"/>
  <c r="BE18" i="3" s="1"/>
  <c r="BG20" i="3"/>
  <c r="BF20" i="3" s="1"/>
  <c r="BG21" i="3"/>
  <c r="BF21" i="3" s="1"/>
  <c r="BG23" i="3"/>
  <c r="BF23" i="3" s="1"/>
  <c r="BG24" i="3"/>
  <c r="BE24" i="3" s="1"/>
  <c r="BG25" i="3"/>
  <c r="BF25" i="3" s="1"/>
  <c r="BG28" i="3"/>
  <c r="BE28" i="3" s="1"/>
  <c r="BG29" i="3"/>
  <c r="BF29" i="3" s="1"/>
  <c r="BG31" i="3"/>
  <c r="BE31" i="3" s="1"/>
  <c r="BG33" i="3"/>
  <c r="BF33" i="3" s="1"/>
  <c r="BG35" i="3"/>
  <c r="BF35" i="3" s="1"/>
  <c r="BG36" i="3"/>
  <c r="BF36" i="3" s="1"/>
  <c r="BG37" i="3"/>
  <c r="BF37" i="3" s="1"/>
  <c r="BG26" i="3"/>
  <c r="BF26" i="3" s="1"/>
  <c r="BG19" i="3"/>
  <c r="BE19" i="3" s="1"/>
  <c r="BG27" i="3"/>
  <c r="BE27" i="3" s="1"/>
  <c r="BG32" i="3"/>
  <c r="BE32" i="3" s="1"/>
  <c r="BG11" i="3"/>
  <c r="BF11" i="3" s="1"/>
  <c r="BG22" i="3"/>
  <c r="BF22" i="3" s="1"/>
  <c r="BG30" i="3"/>
  <c r="BF30" i="3" s="1"/>
  <c r="BG7" i="3"/>
  <c r="BE7" i="3" s="1"/>
  <c r="BG15" i="3"/>
  <c r="BF15" i="3" s="1"/>
  <c r="BG4" i="3"/>
  <c r="BE4" i="3" s="1"/>
  <c r="BF58" i="3" l="1"/>
  <c r="BF57" i="3"/>
  <c r="BF56" i="3"/>
  <c r="BF55" i="3"/>
  <c r="BF54" i="3"/>
  <c r="BF53" i="3"/>
  <c r="BF52" i="3"/>
  <c r="BF51" i="3"/>
  <c r="BF50" i="3"/>
  <c r="BF49" i="3"/>
  <c r="BF48" i="3"/>
  <c r="BF47" i="3"/>
  <c r="BF46" i="3"/>
  <c r="BF45" i="3"/>
  <c r="BF44" i="3"/>
  <c r="BF43" i="3"/>
  <c r="BE38" i="3"/>
  <c r="BF42" i="3"/>
  <c r="BF41" i="3"/>
  <c r="BF40" i="3"/>
  <c r="BF39" i="3"/>
  <c r="BE8" i="3"/>
  <c r="BF7" i="3"/>
  <c r="BF31" i="3"/>
  <c r="BE37" i="3"/>
  <c r="BF24" i="3"/>
  <c r="BE33" i="3"/>
  <c r="BF18" i="3"/>
  <c r="BE13" i="3"/>
  <c r="BF2" i="3"/>
  <c r="BE3" i="3"/>
  <c r="BE11" i="3"/>
  <c r="BE20" i="3"/>
  <c r="BF32" i="3"/>
  <c r="BF34" i="3"/>
  <c r="BE15" i="3"/>
  <c r="BE25" i="3"/>
  <c r="BE26" i="3"/>
  <c r="BE14" i="3"/>
  <c r="BF27" i="3"/>
  <c r="BF17" i="3"/>
  <c r="BE30" i="3"/>
  <c r="BE36" i="3"/>
  <c r="BE23" i="3"/>
  <c r="BE12" i="3"/>
  <c r="BF4" i="3"/>
  <c r="BF19" i="3"/>
  <c r="BF28" i="3"/>
  <c r="BF16" i="3"/>
  <c r="BF5" i="3"/>
  <c r="BE22" i="3"/>
  <c r="BE35" i="3"/>
  <c r="BE21" i="3"/>
  <c r="BE10" i="3"/>
  <c r="BE9" i="3"/>
  <c r="BE29" i="3"/>
  <c r="BE6" i="3"/>
</calcChain>
</file>

<file path=xl/sharedStrings.xml><?xml version="1.0" encoding="utf-8"?>
<sst xmlns="http://schemas.openxmlformats.org/spreadsheetml/2006/main" count="1074" uniqueCount="285">
  <si>
    <t>Year</t>
  </si>
  <si>
    <t>Email</t>
  </si>
  <si>
    <t>AEAGasolineGallons</t>
  </si>
  <si>
    <t>GasolineLeaseNumber</t>
  </si>
  <si>
    <t>LeaseGasolineGallons</t>
  </si>
  <si>
    <t>AEADieselGallons</t>
  </si>
  <si>
    <t>DieselLeaseNumber</t>
  </si>
  <si>
    <t>LeaseDieselGallons</t>
  </si>
  <si>
    <t>GasRate</t>
  </si>
  <si>
    <t>DieselRate</t>
  </si>
  <si>
    <t>DEFRate</t>
  </si>
  <si>
    <t>LeaseGasolineTotal</t>
  </si>
  <si>
    <t>LeaseDieselTotal</t>
  </si>
  <si>
    <t>AEAGasolineTotal</t>
  </si>
  <si>
    <t>AEADieselTotal</t>
  </si>
  <si>
    <t>DEFTotal</t>
  </si>
  <si>
    <t>OilTotal</t>
  </si>
  <si>
    <t>DryerTotal</t>
  </si>
  <si>
    <t>NorthStorageBldgTotal</t>
  </si>
  <si>
    <t>CoolerTotal</t>
  </si>
  <si>
    <t>TotalBalance</t>
  </si>
  <si>
    <t>AEA01</t>
  </si>
  <si>
    <t>aaronjg@iastate.edu</t>
  </si>
  <si>
    <t>AEA02</t>
  </si>
  <si>
    <t>alisonr@iastate.edu</t>
  </si>
  <si>
    <t>Alison Robertson</t>
  </si>
  <si>
    <t>AEA03</t>
  </si>
  <si>
    <t>andyvanl@iastate.edu</t>
  </si>
  <si>
    <t>Andrew VanLoocke</t>
  </si>
  <si>
    <t>AEA04</t>
  </si>
  <si>
    <t>arti@iastate.edu</t>
  </si>
  <si>
    <t>Arti Singh</t>
  </si>
  <si>
    <t>AEA06</t>
  </si>
  <si>
    <t>singhak@iastate.edu</t>
  </si>
  <si>
    <t>Danny Singh</t>
  </si>
  <si>
    <t>AEA07</t>
  </si>
  <si>
    <t>dmaier@iastate.edu</t>
  </si>
  <si>
    <t>Dirk Maier</t>
  </si>
  <si>
    <t>AEA08</t>
  </si>
  <si>
    <t>ggebhart@iastate.edu</t>
  </si>
  <si>
    <t>Greg Gebhart</t>
  </si>
  <si>
    <t>AEA09</t>
  </si>
  <si>
    <t>jmyu@iastate.edu</t>
  </si>
  <si>
    <t>Jianming Yu</t>
  </si>
  <si>
    <t>AEA10</t>
  </si>
  <si>
    <t>jode.edwards@usda.gov</t>
  </si>
  <si>
    <t>Jode Edwards</t>
  </si>
  <si>
    <t>AEA11</t>
  </si>
  <si>
    <t>kjmoore@iastate.edu</t>
  </si>
  <si>
    <t>Ken Moore</t>
  </si>
  <si>
    <t>AEA12</t>
  </si>
  <si>
    <t>mgsalas@iastate.edu</t>
  </si>
  <si>
    <t>Maria Salas</t>
  </si>
  <si>
    <t>AEA13</t>
  </si>
  <si>
    <t>lichtma@iastate.edu</t>
  </si>
  <si>
    <t>Mark Licht</t>
  </si>
  <si>
    <t>AEA14</t>
  </si>
  <si>
    <t>wuebkerm@iastate.edu</t>
  </si>
  <si>
    <t>Mark Wuebker</t>
  </si>
  <si>
    <t>AEA15</t>
  </si>
  <si>
    <t>darr@iastate.edu</t>
  </si>
  <si>
    <t>Matt Darr</t>
  </si>
  <si>
    <t>AEA16</t>
  </si>
  <si>
    <t>mhelmers@iastate.edu</t>
  </si>
  <si>
    <t>Matt Helmers</t>
  </si>
  <si>
    <t>AEA17</t>
  </si>
  <si>
    <t>mtekeste@iastate.edu</t>
  </si>
  <si>
    <t>Mehari Tekeste</t>
  </si>
  <si>
    <t>AEA18</t>
  </si>
  <si>
    <t>msoupir@iastate.edu</t>
  </si>
  <si>
    <t>Michelle Soupir</t>
  </si>
  <si>
    <t>AEA19</t>
  </si>
  <si>
    <t>castelmj@iastate.edu</t>
  </si>
  <si>
    <t>Michael Castellano</t>
  </si>
  <si>
    <t>AEA20</t>
  </si>
  <si>
    <t>rchartma@iastate.edu</t>
  </si>
  <si>
    <t>Rob Hartman</t>
  </si>
  <si>
    <t>AEA21</t>
  </si>
  <si>
    <t>rmalone@iastate.edu</t>
  </si>
  <si>
    <t>Robert Malone</t>
  </si>
  <si>
    <t>AEA23</t>
  </si>
  <si>
    <t>sgruss@iastate.edu</t>
  </si>
  <si>
    <t>Shelby Gruss</t>
  </si>
  <si>
    <t>sarchont@iastate.edu</t>
  </si>
  <si>
    <t>Sotirios Archontoulis</t>
  </si>
  <si>
    <t>AEA26</t>
  </si>
  <si>
    <t>stithw@iastate.edu</t>
  </si>
  <si>
    <t>Stith Wiggs</t>
  </si>
  <si>
    <t>AEA27</t>
  </si>
  <si>
    <t>Thomas Lubberstedt</t>
  </si>
  <si>
    <t>AEA28</t>
  </si>
  <si>
    <t>trgoode@iastate.edu</t>
  </si>
  <si>
    <t>Tim Goode</t>
  </si>
  <si>
    <t>id</t>
  </si>
  <si>
    <t>Quarter</t>
  </si>
  <si>
    <t>CombineFeesTotal</t>
  </si>
  <si>
    <t>ZackCombineFees</t>
  </si>
  <si>
    <t>JeffCombineFees</t>
  </si>
  <si>
    <t>Natasha Hoover</t>
  </si>
  <si>
    <t>Marshall McDaniel</t>
  </si>
  <si>
    <t>Silvina Arias</t>
  </si>
  <si>
    <t>Greg Vannostrand</t>
  </si>
  <si>
    <t>Matt Woods</t>
  </si>
  <si>
    <t>Roger Hintz</t>
  </si>
  <si>
    <t>Damian Franzenburg</t>
  </si>
  <si>
    <t>Kent Berns</t>
  </si>
  <si>
    <t>AEA29</t>
  </si>
  <si>
    <t>AEA30</t>
  </si>
  <si>
    <t>AEA31</t>
  </si>
  <si>
    <t>AEA32</t>
  </si>
  <si>
    <t>AEA33</t>
  </si>
  <si>
    <t>AEA34</t>
  </si>
  <si>
    <t>AEA36</t>
  </si>
  <si>
    <t>Department</t>
  </si>
  <si>
    <t>LateFee</t>
  </si>
  <si>
    <t>nlhoover@iastate.edu</t>
  </si>
  <si>
    <t>Agricultural and Biosystems Engineering</t>
  </si>
  <si>
    <t>marsh@iastate.edu</t>
  </si>
  <si>
    <t>Agronomy</t>
  </si>
  <si>
    <t>Richard Roth</t>
  </si>
  <si>
    <t>rtroth@iastate.edu</t>
  </si>
  <si>
    <t>sarias@iastate.edu</t>
  </si>
  <si>
    <t>Plant Pathology/Entomology/Microbiology</t>
  </si>
  <si>
    <t>gregvn@iastate.edu</t>
  </si>
  <si>
    <t>mwoods@iastate.edu</t>
  </si>
  <si>
    <t>rhintz@iastate.edu</t>
  </si>
  <si>
    <t>dfranzen@iastate.edu</t>
  </si>
  <si>
    <t>krberns@iastate.edu</t>
  </si>
  <si>
    <t>Iowa State Research Farms</t>
  </si>
  <si>
    <t>Graduate College</t>
  </si>
  <si>
    <t>Ag &amp; Life Sciences Administration</t>
  </si>
  <si>
    <t>OilRate</t>
  </si>
  <si>
    <t>DryerRate</t>
  </si>
  <si>
    <t>NorthStorageBldgRate</t>
  </si>
  <si>
    <t>GasolineBillingPeriod</t>
  </si>
  <si>
    <t>DieselBillingPeriod</t>
  </si>
  <si>
    <t>DEFBillingPeriod</t>
  </si>
  <si>
    <t>OilBillingPeriod</t>
  </si>
  <si>
    <t>DryerBillingPeriod</t>
  </si>
  <si>
    <t>NorthStorageBldgBillingPeriod</t>
  </si>
  <si>
    <t>ProjectLeader</t>
  </si>
  <si>
    <t>OilQuarts</t>
  </si>
  <si>
    <t>DEFQuarts</t>
  </si>
  <si>
    <t>CartDays</t>
  </si>
  <si>
    <t>CoolersqftRate</t>
  </si>
  <si>
    <t>CombineFeesPlotRate</t>
  </si>
  <si>
    <t>CoolershelfRate</t>
  </si>
  <si>
    <t>CombineFeesDayRate</t>
  </si>
  <si>
    <t>CoolerBillingPeriodSqft</t>
  </si>
  <si>
    <t>CombineFeeBillingPeriodPlot</t>
  </si>
  <si>
    <t>CoolerBillingPeriodShelf</t>
  </si>
  <si>
    <t>CombineFeeBillingPeriodDay</t>
  </si>
  <si>
    <t>USDA</t>
  </si>
  <si>
    <t>CombinePlots</t>
  </si>
  <si>
    <t>CombineDay</t>
  </si>
  <si>
    <t>CoolerShelf</t>
  </si>
  <si>
    <t>CoolerSqft</t>
  </si>
  <si>
    <t>FarmWorktagDD</t>
  </si>
  <si>
    <t>SummedAmount</t>
  </si>
  <si>
    <t>PG107331 &amp; DD00244</t>
  </si>
  <si>
    <t>Farm</t>
  </si>
  <si>
    <t>Ag Engineering/Agronomy</t>
  </si>
  <si>
    <t>CombineAlt</t>
  </si>
  <si>
    <t>stevenh1@iastate.edu</t>
  </si>
  <si>
    <t>Steven Harris</t>
  </si>
  <si>
    <t>GasRateFee</t>
  </si>
  <si>
    <t>DieselRateFee</t>
  </si>
  <si>
    <t>DEFRateFee</t>
  </si>
  <si>
    <t>OilRateFee</t>
  </si>
  <si>
    <t>DryerRateFee</t>
  </si>
  <si>
    <t>NorthStorageBldgRateFee</t>
  </si>
  <si>
    <t>CoolersqftRateFee</t>
  </si>
  <si>
    <t>CoolershelfRateFee</t>
  </si>
  <si>
    <t>CombineFeesPlotRateFee</t>
  </si>
  <si>
    <t>CombineFeesDayRateFee</t>
  </si>
  <si>
    <t>CombineFeesHourRate</t>
  </si>
  <si>
    <t>CombineFeesHourRateFee</t>
  </si>
  <si>
    <t>YearRate</t>
  </si>
  <si>
    <t>$ 2.65/Gal.</t>
  </si>
  <si>
    <t>$ 2.93/Gal.</t>
  </si>
  <si>
    <t>$ 1.25/Qt.</t>
  </si>
  <si>
    <t>$ 7/Qt.</t>
  </si>
  <si>
    <t>$ 3/Day/Cart</t>
  </si>
  <si>
    <t>$ 1/Sq.Ft</t>
  </si>
  <si>
    <t>$ 5/Shelf</t>
  </si>
  <si>
    <t>$ 5/Plot</t>
  </si>
  <si>
    <t>$ 100/Day</t>
  </si>
  <si>
    <t>$ 200/Hr.</t>
  </si>
  <si>
    <t>LaborFeeLease</t>
  </si>
  <si>
    <t>LeaseGasolineBillingPeriod</t>
  </si>
  <si>
    <t>LeaseDieselBillingPeriod</t>
  </si>
  <si>
    <t>GasRateandLaborFeeLease</t>
  </si>
  <si>
    <t>DieselRateLaborFeeLease</t>
  </si>
  <si>
    <t>LaborFeeLeaseRate</t>
  </si>
  <si>
    <t>Transportation Services</t>
  </si>
  <si>
    <t>andreaw1@iastate.edu</t>
  </si>
  <si>
    <t>Andrea Weber</t>
  </si>
  <si>
    <t>LeaseGasolineLaborTotal</t>
  </si>
  <si>
    <t>LeaseDieselLaborTotal</t>
  </si>
  <si>
    <t>AEA05</t>
  </si>
  <si>
    <t>AEA22</t>
  </si>
  <si>
    <t>AEA25</t>
  </si>
  <si>
    <t>AEA35</t>
  </si>
  <si>
    <t>NorthStorageBldgRateCoolerFee</t>
  </si>
  <si>
    <t>NorthStorageBldgRateCoolerRate</t>
  </si>
  <si>
    <t>NorthStorageBldgRateSWStoargeRate</t>
  </si>
  <si>
    <t>NorthStorageBldgRateSWStoargeFee</t>
  </si>
  <si>
    <t>NorthStorageBldgCoolerBillingPeriod</t>
  </si>
  <si>
    <t>NorthStorageBldgBillingSWStoragePeriod</t>
  </si>
  <si>
    <t>NorthStorageBldgRateMonths</t>
  </si>
  <si>
    <t>NorthStorageBldgRateCoolerMonths</t>
  </si>
  <si>
    <t>NorthStorageBldgRateSWStoargeMonths</t>
  </si>
  <si>
    <t>$ 40/Month</t>
  </si>
  <si>
    <t>$ 65/Month</t>
  </si>
  <si>
    <t>$ 80/Month</t>
  </si>
  <si>
    <t>AEA37</t>
  </si>
  <si>
    <t>ufrei@iastate.edu</t>
  </si>
  <si>
    <t>Q1</t>
  </si>
  <si>
    <t>Ryan Budnik</t>
  </si>
  <si>
    <t>Erin Hodgson</t>
  </si>
  <si>
    <t>ICIA</t>
  </si>
  <si>
    <t>ewh@iastate.edu</t>
  </si>
  <si>
    <t>Ben Knutson</t>
  </si>
  <si>
    <t>Matthew Schnabel</t>
  </si>
  <si>
    <t>mschn@iastate.edu</t>
  </si>
  <si>
    <t>schnable@iastate.edu</t>
  </si>
  <si>
    <t>rjbudnik@iastate.edu</t>
  </si>
  <si>
    <t>AEA38</t>
  </si>
  <si>
    <t>AEA39</t>
  </si>
  <si>
    <t>AEA40</t>
  </si>
  <si>
    <t>AEA41</t>
  </si>
  <si>
    <t>AEA42</t>
  </si>
  <si>
    <t>Michael Fiscus</t>
  </si>
  <si>
    <t>AEA43</t>
  </si>
  <si>
    <t>mfiscus@iastate.edu</t>
  </si>
  <si>
    <t>Wesley Everman</t>
  </si>
  <si>
    <t>weverman@iastate.edu</t>
  </si>
  <si>
    <t>Daren Mueller</t>
  </si>
  <si>
    <t>dsmuelle@iastate.edu</t>
  </si>
  <si>
    <t>Adam Vanous</t>
  </si>
  <si>
    <t>adam.vanous@iastate.edu</t>
  </si>
  <si>
    <t>Patrick Schnable</t>
  </si>
  <si>
    <t>Aaron Gassmann</t>
  </si>
  <si>
    <t>Meaghan Anderson</t>
  </si>
  <si>
    <t>mjanders@iastate.edu</t>
  </si>
  <si>
    <t>Extension to Agriculture</t>
  </si>
  <si>
    <t>Kendall Lamkey</t>
  </si>
  <si>
    <t>krlamkey@iastate.edu</t>
  </si>
  <si>
    <t>Gregory Tylka</t>
  </si>
  <si>
    <t>gltylka@iastate.edu</t>
  </si>
  <si>
    <t>Santanu Bakshi</t>
  </si>
  <si>
    <t>Bioeconomy Institute</t>
  </si>
  <si>
    <t>sbakshi@iastate.edu</t>
  </si>
  <si>
    <t>Craig Abel</t>
  </si>
  <si>
    <t>cabel@iastate.edu</t>
  </si>
  <si>
    <t>Sabrina.ruis@usda.gov</t>
  </si>
  <si>
    <t>Sabrina Ruis</t>
  </si>
  <si>
    <t>Amitava Chatterjee</t>
  </si>
  <si>
    <t>amit.chatterjee@usda.gov</t>
  </si>
  <si>
    <t>Michelle Graham</t>
  </si>
  <si>
    <t>john.kovar@usda.gov</t>
  </si>
  <si>
    <t>John Kovar</t>
  </si>
  <si>
    <t>rob.malone@usda.gov</t>
  </si>
  <si>
    <t>Rob Malone</t>
  </si>
  <si>
    <t>peter.obrien@usda.gov</t>
  </si>
  <si>
    <t>Peter Obrien</t>
  </si>
  <si>
    <t>ben.knutson@usda.gov</t>
  </si>
  <si>
    <t>ken.wacha@usda.gov</t>
  </si>
  <si>
    <t>Ken Wacha</t>
  </si>
  <si>
    <t>magraham@iastate.edu</t>
  </si>
  <si>
    <t>AEA44</t>
  </si>
  <si>
    <t>AEA45</t>
  </si>
  <si>
    <t>AEA46</t>
  </si>
  <si>
    <t>AEA47</t>
  </si>
  <si>
    <t>AEA48</t>
  </si>
  <si>
    <t>AEA49</t>
  </si>
  <si>
    <t>AEA50</t>
  </si>
  <si>
    <t>AEA51</t>
  </si>
  <si>
    <t>AEA52</t>
  </si>
  <si>
    <t>AEA53</t>
  </si>
  <si>
    <t>AEA54</t>
  </si>
  <si>
    <t>AEA55</t>
  </si>
  <si>
    <t>AEA56</t>
  </si>
  <si>
    <t>AEA57</t>
  </si>
  <si>
    <t>AEA58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</si>
</sst>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242424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3" fillId="0" borderId="0" xfId="0" quotePrefix="1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89"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  <numFmt numFmtId="0" formatCode="General"/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  <numFmt numFmtId="0" formatCode="General"/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42424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vertAlign val="baseline"/>
        <sz val="12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F649EF-0B6E-4117-BE94-6AE873A420DD}" name="Table1" displayName="Table1" ref="A1:CI58" totalsRowShown="0" headerRowDxfId="88" dataDxfId="87">
  <autoFilter ref="A1:CI58" xr:uid="{50F649EF-0B6E-4117-BE94-6AE873A420DD}"/>
  <sortState xmlns:xlrd2="http://schemas.microsoft.com/office/spreadsheetml/2017/richdata2" ref="A2:CI37">
    <sortCondition ref="H1:H37"/>
  </sortState>
  <tableColumns count="87">
    <tableColumn id="1" xr3:uid="{AEC1DCF1-54F6-41DC-85D9-5DB989BEADB1}" name="Year" dataDxfId="86"/>
    <tableColumn id="2" xr3:uid="{4911765E-EBE2-4A28-8AE6-FDC1AA67548F}" name="id" dataDxfId="85"/>
    <tableColumn id="29" xr3:uid="{E30F4D59-B53C-44E7-842D-8AAC514DFA98}" name="Quarter" dataDxfId="84"/>
    <tableColumn id="35" xr3:uid="{80B5FD59-C609-4032-BBF5-45A49653436D}" name="LateFee" dataDxfId="83"/>
    <tableColumn id="61" xr3:uid="{24E56F64-7CBF-4F1B-9B72-3FDD0AF29E9C}" name="Farm" dataDxfId="82"/>
    <tableColumn id="59" xr3:uid="{C701ABD9-BA36-4699-A4A0-2D80B596E6D9}" name="FarmWorktagDD" dataDxfId="81"/>
    <tableColumn id="33" xr3:uid="{9307BBE0-8767-4E28-9BB5-7183156D064E}" name="Department" dataDxfId="80"/>
    <tableColumn id="6" xr3:uid="{5265EB6F-A586-4262-8475-0358E4F6A503}" name="ProjectLeader" dataDxfId="79"/>
    <tableColumn id="5" xr3:uid="{BA2D476A-C5E7-4546-86FE-CC874FA68F14}" name="Email" dataDxfId="78"/>
    <tableColumn id="36" xr3:uid="{D3ABD11B-E61C-447A-923F-196F36134EEC}" name="LeaseGasolineBillingPeriod" dataDxfId="77"/>
    <tableColumn id="28" xr3:uid="{DA5A1CE1-F2B4-407A-BD3E-71AA7EBED554}" name="LeaseDieselBillingPeriod" dataDxfId="76"/>
    <tableColumn id="34" xr3:uid="{4701EEA2-D48A-4EF1-96CC-819C6375ABF6}" name="GasolineBillingPeriod" dataDxfId="75"/>
    <tableColumn id="48" xr3:uid="{8CB74B38-06A1-493D-8D17-1D65CAEF5C35}" name="DieselBillingPeriod" dataDxfId="74"/>
    <tableColumn id="47" xr3:uid="{E8AA9AF4-CC23-4505-9CDA-DC83B9AF7A76}" name="DEFBillingPeriod" dataDxfId="73"/>
    <tableColumn id="46" xr3:uid="{627D2A50-CA9B-44DD-BE6F-7B2ABAC673E0}" name="OilBillingPeriod" dataDxfId="72"/>
    <tableColumn id="45" xr3:uid="{EC167466-6ECC-4510-B290-B50693260BF3}" name="DryerBillingPeriod" dataDxfId="71"/>
    <tableColumn id="44" xr3:uid="{2E7A7F2C-3BE6-40F8-AE81-5FB1E3368C48}" name="NorthStorageBldgBillingPeriod" dataDxfId="70"/>
    <tableColumn id="85" xr3:uid="{DE444C8E-CBF7-4887-8E17-059AA6F946FD}" name="NorthStorageBldgCoolerBillingPeriod" dataDxfId="69"/>
    <tableColumn id="84" xr3:uid="{B55ED4BF-65E1-420C-992D-37388071229F}" name="NorthStorageBldgBillingSWStoragePeriod" dataDxfId="68"/>
    <tableColumn id="43" xr3:uid="{C1C02C41-AF46-4697-B731-857B396F132F}" name="CoolerBillingPeriodSqft" dataDxfId="67"/>
    <tableColumn id="42" xr3:uid="{73C820B1-135B-4331-9E3F-102C506F777C}" name="CombineFeeBillingPeriodPlot" dataDxfId="66"/>
    <tableColumn id="54" xr3:uid="{EB559F86-0AC0-4C0E-B9E8-7514EF589F68}" name="CoolerBillingPeriodShelf" dataDxfId="65"/>
    <tableColumn id="53" xr3:uid="{734ABB0E-E27A-463C-ABEA-F7F0DF9584CB}" name="CombineFeeBillingPeriodDay" dataDxfId="64"/>
    <tableColumn id="32" xr3:uid="{E49C0FB7-37CB-43D1-8CEC-8CEB2F153826}" name="JeffCombineFees" dataDxfId="63"/>
    <tableColumn id="31" xr3:uid="{1A701F1D-1A02-4117-B1CF-6FCF05CF4A5D}" name="ZackCombineFees" dataDxfId="62"/>
    <tableColumn id="56" xr3:uid="{7C6AB067-874C-4B27-84BE-9AE55E111691}" name="CombinePlots" dataDxfId="61"/>
    <tableColumn id="62" xr3:uid="{43401750-1A3C-48AA-935E-BC7355D77B63}" name="CombineAlt" dataDxfId="60"/>
    <tableColumn id="55" xr3:uid="{9281DCD4-F562-4329-8ED4-5D500BA57731}" name="CombineDay" dataDxfId="59"/>
    <tableColumn id="58" xr3:uid="{2917F63B-76AB-4154-A60C-CD2E10036236}" name="CoolerShelf" dataDxfId="58"/>
    <tableColumn id="57" xr3:uid="{B502BAF0-1753-4D59-A6E1-FF87DA6E57E4}" name="CoolerSqft" dataDxfId="57"/>
    <tableColumn id="88" xr3:uid="{948E45DE-B65D-4C95-8983-4D5811B4DF6D}" name="NorthStorageBldgRateMonths" dataDxfId="56"/>
    <tableColumn id="87" xr3:uid="{F00A4631-4C99-4824-8F03-074160B320B7}" name="NorthStorageBldgRateCoolerMonths" dataDxfId="55"/>
    <tableColumn id="86" xr3:uid="{531E215B-D493-4EFD-8B18-F0618FE0F575}" name="NorthStorageBldgRateSWStoargeMonths" dataDxfId="54"/>
    <tableColumn id="7" xr3:uid="{2ACBA16A-CCFA-4AE9-9906-F386A390A724}" name="AEAGasolineGallons" dataDxfId="53"/>
    <tableColumn id="8" xr3:uid="{7484FAC8-0805-4E89-99B6-35CB8C70FC67}" name="GasolineLeaseNumber" dataDxfId="52"/>
    <tableColumn id="9" xr3:uid="{702CFC83-9780-4D8B-8558-C5D6B7BC866D}" name="LeaseGasolineGallons" dataDxfId="51"/>
    <tableColumn id="10" xr3:uid="{89FF92DA-897F-4DD2-8BDB-2F9070C5878C}" name="AEADieselGallons" dataDxfId="50"/>
    <tableColumn id="11" xr3:uid="{01B4F908-2468-4481-A02D-911D5CC92CE7}" name="DieselLeaseNumber" dataDxfId="49"/>
    <tableColumn id="12" xr3:uid="{BF34D4BA-FD0A-49C3-9064-4ECF29FE0634}" name="LeaseDieselGallons" dataDxfId="48"/>
    <tableColumn id="49" xr3:uid="{D27ADC89-3C20-44DA-A13E-4E6AA835EDC8}" name="OilQuarts" dataDxfId="47"/>
    <tableColumn id="38" xr3:uid="{672FC920-BF53-48DC-83F2-13C5B299527D}" name="DEFQuarts" dataDxfId="46"/>
    <tableColumn id="50" xr3:uid="{F379582A-38B7-4405-A8A7-F0F5A7ACBD9E}" name="CartDays" dataDxfId="45"/>
    <tableColumn id="73" xr3:uid="{D3E05976-4E65-43D1-993D-8647E31F0CDD}" name="GasRateFee" dataDxfId="44"/>
    <tableColumn id="74" xr3:uid="{B1EEB4DE-F697-4F3F-9E7E-4FFB8A6A7ECF}" name="DieselRateFee" dataDxfId="43"/>
    <tableColumn id="75" xr3:uid="{14BD17D8-8696-4B56-BF1D-B293A2A52D90}" name="DEFRateFee" dataDxfId="42"/>
    <tableColumn id="76" xr3:uid="{CDE376BE-D47C-4EDB-8BA5-3ABD255D5637}" name="OilRateFee" dataDxfId="41"/>
    <tableColumn id="77" xr3:uid="{69A615BE-D132-4F55-9B7F-BEE6F1CAF7B6}" name="DryerRateFee" dataDxfId="40"/>
    <tableColumn id="78" xr3:uid="{821DC6B6-600D-4860-9228-564253F2BF6E}" name="NorthStorageBldgRateFee" dataDxfId="39"/>
    <tableColumn id="4" xr3:uid="{AED0CEE5-9200-40ED-8A94-0F079491F431}" name="NorthStorageBldgRateCoolerFee" dataDxfId="38"/>
    <tableColumn id="70" xr3:uid="{77F05B63-592F-4964-A064-F971B850BCF8}" name="NorthStorageBldgRateSWStoargeFee" dataDxfId="37"/>
    <tableColumn id="79" xr3:uid="{DFD3BB62-1C90-4AA5-8842-4B9BA9BFA555}" name="CoolersqftRateFee" dataDxfId="36"/>
    <tableColumn id="80" xr3:uid="{A4D6C327-4E25-49C7-936C-7D59BAE863E4}" name="CoolershelfRateFee" dataDxfId="35"/>
    <tableColumn id="81" xr3:uid="{468881CA-1457-4FC3-80ED-518FCDBADCE7}" name="CombineFeesPlotRateFee" dataDxfId="34"/>
    <tableColumn id="82" xr3:uid="{3C9393DA-21EE-4604-A9E5-D58CAF94B91C}" name="CombineFeesDayRateFee" dataDxfId="33"/>
    <tableColumn id="63" xr3:uid="{2BFE0B76-6A59-43A3-9E6F-BEFDE6946B74}" name="CombineFeesHourRateFee" dataDxfId="32"/>
    <tableColumn id="3" xr3:uid="{7C6B14A9-099F-4C7A-A73F-DDA19FBFF933}" name="LaborFeeLease" dataDxfId="31"/>
    <tableColumn id="66" xr3:uid="{35AE86A3-785A-436F-822C-ADE708479189}" name="GasRateandLaborFeeLease" dataDxfId="30">
      <calculatedColumnFormula>_xlfn.CONCAT(Table1[[#This Row],[GasRate]]," + ",Table1[[#This Row],[LaborFeeLeaseRate]])</calculatedColumnFormula>
    </tableColumn>
    <tableColumn id="37" xr3:uid="{C019EB34-03B3-472E-AB92-D35A308215AA}" name="DieselRateLaborFeeLease" dataDxfId="29">
      <calculatedColumnFormula>_xlfn.CONCAT(Table1[[#This Row],[DieselRate]]," + ",Table1[[#This Row],[LaborFeeLeaseRate]])</calculatedColumnFormula>
    </tableColumn>
    <tableColumn id="67" xr3:uid="{C25389B2-E140-4B63-9D1B-F6DB8A361210}" name="LaborFeeLeaseRate" dataDxfId="28">
      <calculatedColumnFormula>_xlfn.CONCAT("$ ",Table1[[#This Row],[LaborFeeLease]],"/Gal.")</calculatedColumnFormula>
    </tableColumn>
    <tableColumn id="13" xr3:uid="{DCFEBABC-872B-4A1A-80BB-2B6797C8C2DD}" name="GasRate" dataDxfId="27"/>
    <tableColumn id="14" xr3:uid="{C5370B3D-59E1-42D4-9464-E02BD0C97FAA}" name="DieselRate" dataDxfId="26"/>
    <tableColumn id="15" xr3:uid="{6974FF10-2A0F-4774-8038-8A3712054E25}" name="DEFRate" dataDxfId="25"/>
    <tableColumn id="16" xr3:uid="{A044EFE6-F05F-447F-9F0F-A5BB00971608}" name="OilRate" dataDxfId="24"/>
    <tableColumn id="17" xr3:uid="{E3DFF031-D0D3-4AC4-9F4A-79E721B7772C}" name="DryerRate" dataDxfId="23"/>
    <tableColumn id="41" xr3:uid="{6C90307D-E008-428E-8FFE-EBE850D4A1EA}" name="NorthStorageBldgRate" dataDxfId="22"/>
    <tableColumn id="72" xr3:uid="{DFE31DB8-00F4-43C7-A3E3-E93CC6C8ED63}" name="NorthStorageBldgRateCoolerRate" dataDxfId="21"/>
    <tableColumn id="71" xr3:uid="{C165568A-D53E-4A90-B029-29E4D15F32FD}" name="NorthStorageBldgRateSWStoargeRate" dataDxfId="20"/>
    <tableColumn id="40" xr3:uid="{3F8E8D00-594A-45E0-8A92-FE03351C7E96}" name="CoolersqftRate" dataDxfId="19"/>
    <tableColumn id="51" xr3:uid="{5D619F7F-F68F-47F3-B59E-D0EDA9356C68}" name="CoolershelfRate" dataDxfId="18"/>
    <tableColumn id="52" xr3:uid="{025AB68B-8A09-40D1-B749-C36509C72D23}" name="CombineFeesPlotRate" dataDxfId="17"/>
    <tableColumn id="39" xr3:uid="{0FCEB9B8-B7E0-4724-8D69-045DB63C3EFA}" name="CombineFeesDayRate" dataDxfId="16"/>
    <tableColumn id="64" xr3:uid="{A2EA2F0E-27EF-41C6-A932-0E84A1E032DF}" name="CombineFeesHourRate" dataDxfId="15"/>
    <tableColumn id="65" xr3:uid="{33915797-FD52-4B82-A676-3FFECE7F4D03}" name="YearRate" dataDxfId="14"/>
    <tableColumn id="60" xr3:uid="{88AD3091-30B7-4AEF-955D-699BFCAA4028}" name="SummedAmount" dataDxfId="13"/>
    <tableColumn id="69" xr3:uid="{E9F38789-D485-4321-B914-09DB3967CA2C}" name="LeaseGasolineLaborTotal" dataDxfId="12"/>
    <tableColumn id="68" xr3:uid="{C5391F64-7B7C-4D43-8166-48961E112F8D}" name="LeaseDieselLaborTotal" dataDxfId="11"/>
    <tableColumn id="18" xr3:uid="{64D6AFA0-CC66-46E5-88A1-9CC9BA0FE2E5}" name="LeaseGasolineTotal" dataDxfId="10"/>
    <tableColumn id="19" xr3:uid="{730E4254-4448-4CC2-B199-D36E537076E6}" name="LeaseDieselTotal" dataDxfId="9"/>
    <tableColumn id="20" xr3:uid="{521A13E6-98CC-43D5-A4A8-ED922D47481E}" name="AEAGasolineTotal" dataDxfId="8"/>
    <tableColumn id="21" xr3:uid="{373D4B65-BEE5-43AE-9143-EEFCD6B0D4F3}" name="AEADieselTotal" dataDxfId="7"/>
    <tableColumn id="22" xr3:uid="{FF201D3F-DA20-415E-B305-AF4C8C4A15A3}" name="DEFTotal" dataDxfId="6"/>
    <tableColumn id="23" xr3:uid="{861C456C-5756-4408-8FA5-976A7E80DB9C}" name="OilTotal" dataDxfId="5"/>
    <tableColumn id="24" xr3:uid="{B55CEEDD-E809-421B-B6A2-AF3504D0CC9C}" name="DryerTotal" dataDxfId="4"/>
    <tableColumn id="25" xr3:uid="{B275DD41-2F1A-471E-A593-6EF12A2E5CEF}" name="NorthStorageBldgTotal" dataDxfId="3"/>
    <tableColumn id="26" xr3:uid="{C6D25152-BA81-4D0C-AF1C-5F8B5811C4CB}" name="CoolerTotal" dataDxfId="2"/>
    <tableColumn id="30" xr3:uid="{166351E7-80EE-45BA-B6E3-7BA87A9FE37C}" name="CombineFeesTotal" dataDxfId="1">
      <calculatedColumnFormula>Table1[[#This Row],[JeffCombineFees]]+Table1[[#This Row],[ZackCombineFees]]</calculatedColumnFormula>
    </tableColumn>
    <tableColumn id="27" xr3:uid="{F6E94983-C312-4F87-808E-E98841CF1CE9}" name="TotalBalance" dataDxfId="0">
      <calculatedColumnFormula>SUM(Table1[[#This Row],[LeaseGasolineTotal]:[CombineFeesTotal]])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franzen@iastate.edu" TargetMode="External"/><Relationship Id="rId13" Type="http://schemas.openxmlformats.org/officeDocument/2006/relationships/hyperlink" Target="mailto:ewh@iastate.edu" TargetMode="External"/><Relationship Id="rId18" Type="http://schemas.openxmlformats.org/officeDocument/2006/relationships/hyperlink" Target="mailto:weverman@iastate.edu" TargetMode="External"/><Relationship Id="rId26" Type="http://schemas.openxmlformats.org/officeDocument/2006/relationships/hyperlink" Target="mailto:magraham@iastate.edu" TargetMode="External"/><Relationship Id="rId3" Type="http://schemas.openxmlformats.org/officeDocument/2006/relationships/hyperlink" Target="mailto:rtroth@iastate.edu" TargetMode="External"/><Relationship Id="rId21" Type="http://schemas.openxmlformats.org/officeDocument/2006/relationships/hyperlink" Target="mailto:mjanders@iastate.edu" TargetMode="External"/><Relationship Id="rId7" Type="http://schemas.openxmlformats.org/officeDocument/2006/relationships/hyperlink" Target="mailto:rhintz@iastate.edu" TargetMode="External"/><Relationship Id="rId12" Type="http://schemas.openxmlformats.org/officeDocument/2006/relationships/hyperlink" Target="mailto:ufrei@iastate.edu" TargetMode="External"/><Relationship Id="rId17" Type="http://schemas.openxmlformats.org/officeDocument/2006/relationships/hyperlink" Target="mailto:mfiscus@iastate.edu" TargetMode="External"/><Relationship Id="rId25" Type="http://schemas.openxmlformats.org/officeDocument/2006/relationships/hyperlink" Target="mailto:cabel@iastate.edu" TargetMode="External"/><Relationship Id="rId2" Type="http://schemas.openxmlformats.org/officeDocument/2006/relationships/hyperlink" Target="mailto:marsh@iastate.edu" TargetMode="External"/><Relationship Id="rId16" Type="http://schemas.openxmlformats.org/officeDocument/2006/relationships/hyperlink" Target="mailto:rjbudnik@iastate.edu" TargetMode="External"/><Relationship Id="rId20" Type="http://schemas.openxmlformats.org/officeDocument/2006/relationships/hyperlink" Target="mailto:adam.vanous@iastate.edu" TargetMode="External"/><Relationship Id="rId1" Type="http://schemas.openxmlformats.org/officeDocument/2006/relationships/hyperlink" Target="mailto:nlhoover@iastate.edu" TargetMode="External"/><Relationship Id="rId6" Type="http://schemas.openxmlformats.org/officeDocument/2006/relationships/hyperlink" Target="mailto:mwoods@iastate.edu" TargetMode="External"/><Relationship Id="rId11" Type="http://schemas.openxmlformats.org/officeDocument/2006/relationships/hyperlink" Target="mailto:andreaw1@iastate.edu" TargetMode="External"/><Relationship Id="rId24" Type="http://schemas.openxmlformats.org/officeDocument/2006/relationships/hyperlink" Target="mailto:sbakshi@iastate.edu" TargetMode="External"/><Relationship Id="rId5" Type="http://schemas.openxmlformats.org/officeDocument/2006/relationships/hyperlink" Target="mailto:gregvn@iastate.edu" TargetMode="External"/><Relationship Id="rId15" Type="http://schemas.openxmlformats.org/officeDocument/2006/relationships/hyperlink" Target="mailto:schnable@iastate.edu" TargetMode="External"/><Relationship Id="rId23" Type="http://schemas.openxmlformats.org/officeDocument/2006/relationships/hyperlink" Target="mailto:gltylka@iastate.edu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stevenh1@iastate.edu" TargetMode="External"/><Relationship Id="rId19" Type="http://schemas.openxmlformats.org/officeDocument/2006/relationships/hyperlink" Target="mailto:dsmuelle@iastate.edu" TargetMode="External"/><Relationship Id="rId4" Type="http://schemas.openxmlformats.org/officeDocument/2006/relationships/hyperlink" Target="mailto:sarias@iastate.edu" TargetMode="External"/><Relationship Id="rId9" Type="http://schemas.openxmlformats.org/officeDocument/2006/relationships/hyperlink" Target="mailto:krberns@iastate.edu" TargetMode="External"/><Relationship Id="rId14" Type="http://schemas.openxmlformats.org/officeDocument/2006/relationships/hyperlink" Target="mailto:mschn@iastate.edu" TargetMode="External"/><Relationship Id="rId22" Type="http://schemas.openxmlformats.org/officeDocument/2006/relationships/hyperlink" Target="mailto:krlamkey@iastate.edu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5698-6B2B-4F32-9464-6442ECD0BB21}">
  <dimension ref="A1:CI58"/>
  <sheetViews>
    <sheetView tabSelected="1" topLeftCell="G1" zoomScale="80" zoomScaleNormal="80" zoomScaleSheetLayoutView="100" workbookViewId="0">
      <selection activeCell="J2" sqref="J2:J58"/>
    </sheetView>
  </sheetViews>
  <sheetFormatPr defaultColWidth="8.81640625" defaultRowHeight="15.5" x14ac:dyDescent="0.35"/>
  <cols>
    <col min="1" max="1" width="8.453125" style="2" bestFit="1" customWidth="1"/>
    <col min="2" max="2" width="8.54296875" style="2" bestFit="1" customWidth="1"/>
    <col min="3" max="3" width="11.7265625" style="2" bestFit="1" customWidth="1"/>
    <col min="4" max="4" width="12.26953125" style="2" bestFit="1" customWidth="1"/>
    <col min="5" max="5" width="28" style="2" bestFit="1" customWidth="1"/>
    <col min="6" max="6" width="25.26953125" style="2" bestFit="1" customWidth="1"/>
    <col min="7" max="7" width="43.453125" style="2" bestFit="1" customWidth="1"/>
    <col min="8" max="8" width="22.54296875" style="2" bestFit="1" customWidth="1"/>
    <col min="9" max="9" width="26.54296875" style="2" bestFit="1" customWidth="1"/>
    <col min="10" max="10" width="26.54296875" style="2" customWidth="1"/>
    <col min="11" max="11" width="34.453125" bestFit="1" customWidth="1"/>
    <col min="12" max="12" width="31.453125" style="2" bestFit="1" customWidth="1"/>
    <col min="13" max="13" width="27.54296875" style="2" bestFit="1" customWidth="1"/>
    <col min="14" max="14" width="24.7265625" style="2" bestFit="1" customWidth="1"/>
    <col min="15" max="15" width="22.54296875" style="2" bestFit="1" customWidth="1"/>
    <col min="16" max="16" width="20.7265625" style="2" bestFit="1" customWidth="1"/>
    <col min="17" max="17" width="24" style="2" bestFit="1" customWidth="1"/>
    <col min="18" max="18" width="38.26953125" style="2" bestFit="1" customWidth="1"/>
    <col min="19" max="20" width="38.26953125" style="2" customWidth="1"/>
    <col min="21" max="21" width="29.81640625" style="2" bestFit="1" customWidth="1"/>
    <col min="22" max="22" width="36.54296875" style="2" bestFit="1" customWidth="1"/>
    <col min="23" max="23" width="31" style="2" bestFit="1" customWidth="1"/>
    <col min="24" max="24" width="36.54296875" style="2" bestFit="1" customWidth="1"/>
    <col min="25" max="25" width="23" style="2" bestFit="1" customWidth="1"/>
    <col min="26" max="26" width="24.26953125" style="2" bestFit="1" customWidth="1"/>
    <col min="27" max="27" width="19.1796875" style="2" bestFit="1" customWidth="1"/>
    <col min="28" max="28" width="16.453125" style="2" bestFit="1" customWidth="1"/>
    <col min="29" max="29" width="17.81640625" style="2" bestFit="1" customWidth="1"/>
    <col min="30" max="30" width="16.54296875" style="2" bestFit="1" customWidth="1"/>
    <col min="31" max="31" width="15.26953125" style="2" bestFit="1" customWidth="1"/>
    <col min="32" max="34" width="15.26953125" style="2" customWidth="1"/>
    <col min="35" max="35" width="26.54296875" style="2" bestFit="1" customWidth="1"/>
    <col min="36" max="36" width="29" style="2" bestFit="1" customWidth="1"/>
    <col min="37" max="37" width="28.54296875" style="2" bestFit="1" customWidth="1"/>
    <col min="38" max="38" width="23.54296875" style="2" bestFit="1" customWidth="1"/>
    <col min="39" max="39" width="26" style="2" bestFit="1" customWidth="1"/>
    <col min="40" max="40" width="25.54296875" style="2" bestFit="1" customWidth="1"/>
    <col min="41" max="41" width="13.7265625" style="2" bestFit="1" customWidth="1"/>
    <col min="42" max="42" width="15.7265625" style="2" bestFit="1" customWidth="1"/>
    <col min="43" max="43" width="13.7265625" style="2" bestFit="1" customWidth="1"/>
    <col min="44" max="44" width="17" style="2" bestFit="1" customWidth="1"/>
    <col min="45" max="45" width="19.453125" style="2" bestFit="1" customWidth="1"/>
    <col min="46" max="46" width="17.453125" style="2" bestFit="1" customWidth="1"/>
    <col min="47" max="47" width="15.453125" style="2" bestFit="1" customWidth="1"/>
    <col min="48" max="48" width="18.7265625" style="2" bestFit="1" customWidth="1"/>
    <col min="49" max="49" width="33.1796875" style="2" bestFit="1" customWidth="1"/>
    <col min="50" max="51" width="33.1796875" style="2" customWidth="1"/>
    <col min="52" max="52" width="24.453125" style="2" bestFit="1" customWidth="1"/>
    <col min="53" max="53" width="25.54296875" style="2" bestFit="1" customWidth="1"/>
    <col min="54" max="55" width="32.7265625" style="2" bestFit="1" customWidth="1"/>
    <col min="56" max="56" width="33.81640625" style="2" bestFit="1" customWidth="1"/>
    <col min="57" max="57" width="20.81640625" style="2" bestFit="1" customWidth="1"/>
    <col min="58" max="58" width="34.7265625" style="2" bestFit="1" customWidth="1"/>
    <col min="59" max="59" width="33" style="2" bestFit="1" customWidth="1"/>
    <col min="60" max="60" width="26" style="2" bestFit="1" customWidth="1"/>
    <col min="61" max="61" width="12.81640625" style="2" bestFit="1" customWidth="1"/>
    <col min="62" max="62" width="15.26953125" style="2" bestFit="1" customWidth="1"/>
    <col min="63" max="63" width="13.26953125" style="2" bestFit="1" customWidth="1"/>
    <col min="64" max="64" width="11.453125" style="2" bestFit="1" customWidth="1"/>
    <col min="65" max="65" width="14.54296875" style="2" bestFit="1" customWidth="1"/>
    <col min="66" max="66" width="29" style="2" bestFit="1" customWidth="1"/>
    <col min="67" max="68" width="29" style="2" customWidth="1"/>
    <col min="69" max="69" width="20.26953125" style="2" bestFit="1" customWidth="1"/>
    <col min="70" max="70" width="21.453125" style="2" bestFit="1" customWidth="1"/>
    <col min="71" max="72" width="28.54296875" style="2" bestFit="1" customWidth="1"/>
    <col min="73" max="73" width="29.7265625" style="2" bestFit="1" customWidth="1"/>
    <col min="74" max="74" width="13.453125" style="2" bestFit="1" customWidth="1"/>
    <col min="75" max="75" width="22.1796875" style="2" bestFit="1" customWidth="1"/>
    <col min="76" max="76" width="32.26953125" style="2" bestFit="1" customWidth="1"/>
    <col min="77" max="77" width="29.26953125" style="2" bestFit="1" customWidth="1"/>
    <col min="78" max="78" width="25.54296875" style="2" bestFit="1" customWidth="1"/>
    <col min="79" max="79" width="22.54296875" style="2" bestFit="1" customWidth="1"/>
    <col min="80" max="80" width="23.54296875" style="2" bestFit="1" customWidth="1"/>
    <col min="81" max="81" width="20.7265625" style="2" bestFit="1" customWidth="1"/>
    <col min="82" max="82" width="13.7265625" style="2" bestFit="1" customWidth="1"/>
    <col min="83" max="83" width="11.81640625" style="2" bestFit="1" customWidth="1"/>
    <col min="84" max="84" width="15" style="2" bestFit="1" customWidth="1"/>
    <col min="85" max="85" width="29.453125" style="2" bestFit="1" customWidth="1"/>
    <col min="86" max="86" width="16.453125" style="2" bestFit="1" customWidth="1"/>
    <col min="87" max="87" width="24.54296875" style="2" bestFit="1" customWidth="1"/>
    <col min="88" max="89" width="18" style="2" bestFit="1" customWidth="1"/>
    <col min="90" max="16384" width="8.81640625" style="2"/>
  </cols>
  <sheetData>
    <row r="1" spans="1:87" x14ac:dyDescent="0.35">
      <c r="A1" s="2" t="s">
        <v>0</v>
      </c>
      <c r="B1" s="2" t="s">
        <v>93</v>
      </c>
      <c r="C1" s="2" t="s">
        <v>94</v>
      </c>
      <c r="D1" s="2" t="s">
        <v>114</v>
      </c>
      <c r="E1" s="2" t="s">
        <v>160</v>
      </c>
      <c r="F1" s="2" t="s">
        <v>157</v>
      </c>
      <c r="G1" s="2" t="s">
        <v>113</v>
      </c>
      <c r="H1" s="2" t="s">
        <v>140</v>
      </c>
      <c r="I1" s="2" t="s">
        <v>1</v>
      </c>
      <c r="J1" s="2" t="s">
        <v>189</v>
      </c>
      <c r="K1" s="2" t="s">
        <v>190</v>
      </c>
      <c r="L1" s="2" t="s">
        <v>134</v>
      </c>
      <c r="M1" s="2" t="s">
        <v>135</v>
      </c>
      <c r="N1" s="2" t="s">
        <v>136</v>
      </c>
      <c r="O1" s="2" t="s">
        <v>137</v>
      </c>
      <c r="P1" s="2" t="s">
        <v>138</v>
      </c>
      <c r="Q1" s="2" t="s">
        <v>139</v>
      </c>
      <c r="R1" s="2" t="s">
        <v>207</v>
      </c>
      <c r="S1" s="2" t="s">
        <v>208</v>
      </c>
      <c r="T1" s="2" t="s">
        <v>148</v>
      </c>
      <c r="U1" s="2" t="s">
        <v>149</v>
      </c>
      <c r="V1" s="2" t="s">
        <v>150</v>
      </c>
      <c r="W1" s="2" t="s">
        <v>151</v>
      </c>
      <c r="X1" s="2" t="s">
        <v>97</v>
      </c>
      <c r="Y1" s="2" t="s">
        <v>96</v>
      </c>
      <c r="Z1" s="2" t="s">
        <v>153</v>
      </c>
      <c r="AA1" s="2" t="s">
        <v>162</v>
      </c>
      <c r="AB1" s="2" t="s">
        <v>154</v>
      </c>
      <c r="AC1" s="2" t="s">
        <v>155</v>
      </c>
      <c r="AD1" s="2" t="s">
        <v>156</v>
      </c>
      <c r="AE1" s="2" t="s">
        <v>209</v>
      </c>
      <c r="AF1" s="2" t="s">
        <v>210</v>
      </c>
      <c r="AG1" s="2" t="s">
        <v>211</v>
      </c>
      <c r="AH1" s="2" t="s">
        <v>2</v>
      </c>
      <c r="AI1" s="2" t="s">
        <v>3</v>
      </c>
      <c r="AJ1" s="2" t="s">
        <v>4</v>
      </c>
      <c r="AK1" s="2" t="s">
        <v>5</v>
      </c>
      <c r="AL1" s="2" t="s">
        <v>6</v>
      </c>
      <c r="AM1" s="2" t="s">
        <v>7</v>
      </c>
      <c r="AN1" s="2" t="s">
        <v>141</v>
      </c>
      <c r="AO1" s="2" t="s">
        <v>142</v>
      </c>
      <c r="AP1" s="2" t="s">
        <v>143</v>
      </c>
      <c r="AQ1" s="2" t="s">
        <v>165</v>
      </c>
      <c r="AR1" s="2" t="s">
        <v>166</v>
      </c>
      <c r="AS1" s="2" t="s">
        <v>167</v>
      </c>
      <c r="AT1" s="2" t="s">
        <v>168</v>
      </c>
      <c r="AU1" s="2" t="s">
        <v>169</v>
      </c>
      <c r="AV1" s="2" t="s">
        <v>170</v>
      </c>
      <c r="AW1" s="2" t="s">
        <v>203</v>
      </c>
      <c r="AX1" s="2" t="s">
        <v>206</v>
      </c>
      <c r="AY1" s="2" t="s">
        <v>171</v>
      </c>
      <c r="AZ1" s="2" t="s">
        <v>172</v>
      </c>
      <c r="BA1" s="2" t="s">
        <v>173</v>
      </c>
      <c r="BB1" s="2" t="s">
        <v>174</v>
      </c>
      <c r="BC1" s="2" t="s">
        <v>176</v>
      </c>
      <c r="BD1" s="2" t="s">
        <v>188</v>
      </c>
      <c r="BE1" s="2" t="s">
        <v>191</v>
      </c>
      <c r="BF1" s="2" t="s">
        <v>192</v>
      </c>
      <c r="BG1" s="2" t="s">
        <v>193</v>
      </c>
      <c r="BH1" s="2" t="s">
        <v>8</v>
      </c>
      <c r="BI1" s="2" t="s">
        <v>9</v>
      </c>
      <c r="BJ1" s="2" t="s">
        <v>10</v>
      </c>
      <c r="BK1" s="2" t="s">
        <v>131</v>
      </c>
      <c r="BL1" s="2" t="s">
        <v>132</v>
      </c>
      <c r="BM1" s="2" t="s">
        <v>133</v>
      </c>
      <c r="BN1" s="2" t="s">
        <v>204</v>
      </c>
      <c r="BO1" s="2" t="s">
        <v>205</v>
      </c>
      <c r="BP1" s="2" t="s">
        <v>144</v>
      </c>
      <c r="BQ1" s="2" t="s">
        <v>146</v>
      </c>
      <c r="BR1" s="2" t="s">
        <v>145</v>
      </c>
      <c r="BS1" s="2" t="s">
        <v>147</v>
      </c>
      <c r="BT1" s="2" t="s">
        <v>175</v>
      </c>
      <c r="BU1" s="2" t="s">
        <v>177</v>
      </c>
      <c r="BV1" s="2" t="s">
        <v>158</v>
      </c>
      <c r="BW1" s="2" t="s">
        <v>197</v>
      </c>
      <c r="BX1" s="2" t="s">
        <v>198</v>
      </c>
      <c r="BY1" s="2" t="s">
        <v>11</v>
      </c>
      <c r="BZ1" s="2" t="s">
        <v>12</v>
      </c>
      <c r="CA1" s="2" t="s">
        <v>13</v>
      </c>
      <c r="CB1" s="2" t="s">
        <v>14</v>
      </c>
      <c r="CC1" s="2" t="s">
        <v>15</v>
      </c>
      <c r="CD1" s="2" t="s">
        <v>16</v>
      </c>
      <c r="CE1" s="2" t="s">
        <v>17</v>
      </c>
      <c r="CF1" s="2" t="s">
        <v>18</v>
      </c>
      <c r="CG1" s="2" t="s">
        <v>19</v>
      </c>
      <c r="CH1" s="2" t="s">
        <v>95</v>
      </c>
      <c r="CI1" s="2" t="s">
        <v>20</v>
      </c>
    </row>
    <row r="2" spans="1:87" x14ac:dyDescent="0.35">
      <c r="A2" s="2">
        <v>26</v>
      </c>
      <c r="B2" s="2" t="s">
        <v>21</v>
      </c>
      <c r="C2" s="2" t="s">
        <v>217</v>
      </c>
      <c r="E2" s="2" t="s">
        <v>161</v>
      </c>
      <c r="F2" s="2" t="s">
        <v>159</v>
      </c>
      <c r="G2" s="3" t="s">
        <v>122</v>
      </c>
      <c r="H2" s="2" t="s">
        <v>242</v>
      </c>
      <c r="I2" s="2" t="s">
        <v>22</v>
      </c>
      <c r="K2" s="2"/>
      <c r="AQ2" s="2">
        <v>2.65</v>
      </c>
      <c r="AR2" s="2">
        <v>2.93</v>
      </c>
      <c r="AS2" s="2">
        <v>1.25</v>
      </c>
      <c r="AT2" s="2">
        <v>7</v>
      </c>
      <c r="AU2" s="4">
        <v>3</v>
      </c>
      <c r="AV2" s="1">
        <v>40</v>
      </c>
      <c r="AW2" s="1">
        <v>65</v>
      </c>
      <c r="AX2" s="1">
        <v>80</v>
      </c>
      <c r="AY2" s="2">
        <v>1</v>
      </c>
      <c r="AZ2" s="2">
        <v>5</v>
      </c>
      <c r="BA2" s="2">
        <v>5</v>
      </c>
      <c r="BB2" s="2">
        <v>100</v>
      </c>
      <c r="BC2" s="2">
        <v>200</v>
      </c>
      <c r="BD2" s="2">
        <v>0.2</v>
      </c>
      <c r="BE2" s="2" t="str">
        <f>_xlfn.CONCAT(Table1[[#This Row],[GasRate]]," + ",Table1[[#This Row],[LaborFeeLeaseRate]])</f>
        <v>$ 2.65/Gal. + $ 0.2/Gal.</v>
      </c>
      <c r="BF2" s="2" t="str">
        <f>_xlfn.CONCAT(Table1[[#This Row],[DieselRate]]," + ",Table1[[#This Row],[LaborFeeLeaseRate]])</f>
        <v>$ 2.93/Gal. + $ 0.2/Gal.</v>
      </c>
      <c r="BG2" s="2" t="str">
        <f>_xlfn.CONCAT("$ ",Table1[[#This Row],[LaborFeeLease]],"/Gal.")</f>
        <v>$ 0.2/Gal.</v>
      </c>
      <c r="BH2" s="2" t="s">
        <v>178</v>
      </c>
      <c r="BI2" s="2" t="s">
        <v>179</v>
      </c>
      <c r="BJ2" s="2" t="s">
        <v>180</v>
      </c>
      <c r="BK2" s="2" t="s">
        <v>181</v>
      </c>
      <c r="BL2" s="2" t="s">
        <v>182</v>
      </c>
      <c r="BM2" s="2" t="s">
        <v>212</v>
      </c>
      <c r="BN2" s="2" t="s">
        <v>213</v>
      </c>
      <c r="BO2" s="2" t="s">
        <v>214</v>
      </c>
      <c r="BP2" s="2" t="s">
        <v>183</v>
      </c>
      <c r="BQ2" s="2" t="s">
        <v>184</v>
      </c>
      <c r="BR2" s="2" t="s">
        <v>185</v>
      </c>
      <c r="BS2" s="2" t="s">
        <v>186</v>
      </c>
      <c r="BT2" s="2" t="s">
        <v>187</v>
      </c>
      <c r="BU2" s="2" t="s">
        <v>217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f>Table1[[#This Row],[JeffCombineFees]]+Table1[[#This Row],[ZackCombineFees]]</f>
        <v>0</v>
      </c>
      <c r="CI2" s="2">
        <f>SUM(Table1[[#This Row],[LeaseGasolineTotal]:[CombineFeesTotal]])</f>
        <v>0</v>
      </c>
    </row>
    <row r="3" spans="1:87" x14ac:dyDescent="0.35">
      <c r="A3" s="2">
        <v>26</v>
      </c>
      <c r="B3" s="2" t="s">
        <v>23</v>
      </c>
      <c r="C3" s="2" t="s">
        <v>217</v>
      </c>
      <c r="E3" s="2" t="s">
        <v>161</v>
      </c>
      <c r="F3" s="2" t="s">
        <v>159</v>
      </c>
      <c r="G3" s="2" t="s">
        <v>122</v>
      </c>
      <c r="H3" s="2" t="s">
        <v>25</v>
      </c>
      <c r="I3" s="2" t="s">
        <v>24</v>
      </c>
      <c r="K3" s="2"/>
      <c r="AL3" s="5"/>
      <c r="AQ3" s="2">
        <v>2.65</v>
      </c>
      <c r="AR3" s="2">
        <v>2.93</v>
      </c>
      <c r="AS3" s="2">
        <v>1.25</v>
      </c>
      <c r="AT3" s="2">
        <v>7</v>
      </c>
      <c r="AU3" s="4">
        <v>3</v>
      </c>
      <c r="AV3" s="1">
        <v>40</v>
      </c>
      <c r="AW3" s="1">
        <v>65</v>
      </c>
      <c r="AX3" s="1">
        <v>80</v>
      </c>
      <c r="AY3" s="2">
        <v>1</v>
      </c>
      <c r="AZ3" s="2">
        <v>5</v>
      </c>
      <c r="BA3" s="2">
        <v>5</v>
      </c>
      <c r="BB3" s="2">
        <v>100</v>
      </c>
      <c r="BC3" s="2">
        <v>200</v>
      </c>
      <c r="BD3" s="2">
        <v>0.2</v>
      </c>
      <c r="BE3" s="2" t="str">
        <f>_xlfn.CONCAT(Table1[[#This Row],[GasRate]]," + ",Table1[[#This Row],[LaborFeeLeaseRate]])</f>
        <v>$ 2.65/Gal. + $ 0.2/Gal.</v>
      </c>
      <c r="BF3" s="2" t="str">
        <f>_xlfn.CONCAT(Table1[[#This Row],[DieselRate]]," + ",Table1[[#This Row],[LaborFeeLeaseRate]])</f>
        <v>$ 2.93/Gal. + $ 0.2/Gal.</v>
      </c>
      <c r="BG3" s="2" t="str">
        <f>_xlfn.CONCAT("$ ",Table1[[#This Row],[LaborFeeLease]],"/Gal.")</f>
        <v>$ 0.2/Gal.</v>
      </c>
      <c r="BH3" s="2" t="s">
        <v>178</v>
      </c>
      <c r="BI3" s="2" t="s">
        <v>179</v>
      </c>
      <c r="BJ3" s="2" t="s">
        <v>180</v>
      </c>
      <c r="BK3" s="2" t="s">
        <v>181</v>
      </c>
      <c r="BL3" s="2" t="s">
        <v>182</v>
      </c>
      <c r="BM3" s="2" t="s">
        <v>212</v>
      </c>
      <c r="BN3" s="2" t="s">
        <v>213</v>
      </c>
      <c r="BO3" s="2" t="s">
        <v>214</v>
      </c>
      <c r="BP3" s="2" t="s">
        <v>183</v>
      </c>
      <c r="BQ3" s="2" t="s">
        <v>184</v>
      </c>
      <c r="BR3" s="2" t="s">
        <v>185</v>
      </c>
      <c r="BS3" s="2" t="s">
        <v>186</v>
      </c>
      <c r="BT3" s="2" t="s">
        <v>187</v>
      </c>
      <c r="BU3" s="2" t="s">
        <v>217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f>Table1[[#This Row],[JeffCombineFees]]+Table1[[#This Row],[ZackCombineFees]]</f>
        <v>0</v>
      </c>
      <c r="CI3" s="2">
        <f>SUM(Table1[[#This Row],[LeaseGasolineTotal]:[CombineFeesTotal]])</f>
        <v>0</v>
      </c>
    </row>
    <row r="4" spans="1:87" x14ac:dyDescent="0.35">
      <c r="A4" s="2">
        <v>26</v>
      </c>
      <c r="B4" s="2" t="s">
        <v>26</v>
      </c>
      <c r="C4" s="2" t="s">
        <v>217</v>
      </c>
      <c r="E4" s="2" t="s">
        <v>161</v>
      </c>
      <c r="F4" s="2" t="s">
        <v>159</v>
      </c>
      <c r="G4" s="2" t="s">
        <v>194</v>
      </c>
      <c r="H4" s="2" t="s">
        <v>196</v>
      </c>
      <c r="I4" s="2" t="s">
        <v>195</v>
      </c>
      <c r="J4" s="6"/>
      <c r="K4" s="6"/>
      <c r="L4" s="6"/>
      <c r="AQ4" s="2">
        <v>2.65</v>
      </c>
      <c r="AR4" s="2">
        <v>2.93</v>
      </c>
      <c r="AS4" s="2">
        <v>1.25</v>
      </c>
      <c r="AT4" s="2">
        <v>7</v>
      </c>
      <c r="AU4" s="4">
        <v>3</v>
      </c>
      <c r="AV4" s="1">
        <v>40</v>
      </c>
      <c r="AW4" s="1">
        <v>65</v>
      </c>
      <c r="AX4" s="1">
        <v>80</v>
      </c>
      <c r="AY4" s="2">
        <v>1</v>
      </c>
      <c r="AZ4" s="2">
        <v>5</v>
      </c>
      <c r="BA4" s="2">
        <v>5</v>
      </c>
      <c r="BB4" s="2">
        <v>100</v>
      </c>
      <c r="BC4" s="2">
        <v>200</v>
      </c>
      <c r="BD4" s="2">
        <v>0.2</v>
      </c>
      <c r="BE4" s="2" t="str">
        <f>_xlfn.CONCAT(Table1[[#This Row],[GasRate]]," + ",Table1[[#This Row],[LaborFeeLeaseRate]])</f>
        <v>$ 2.65/Gal. + $ 0.2/Gal.</v>
      </c>
      <c r="BF4" s="2" t="str">
        <f>_xlfn.CONCAT(Table1[[#This Row],[DieselRate]]," + ",Table1[[#This Row],[LaborFeeLeaseRate]])</f>
        <v>$ 2.93/Gal. + $ 0.2/Gal.</v>
      </c>
      <c r="BG4" s="2" t="str">
        <f>_xlfn.CONCAT("$ ",Table1[[#This Row],[LaborFeeLease]],"/Gal.")</f>
        <v>$ 0.2/Gal.</v>
      </c>
      <c r="BH4" s="2" t="s">
        <v>178</v>
      </c>
      <c r="BI4" s="2" t="s">
        <v>179</v>
      </c>
      <c r="BJ4" s="2" t="s">
        <v>180</v>
      </c>
      <c r="BK4" s="2" t="s">
        <v>181</v>
      </c>
      <c r="BL4" s="2" t="s">
        <v>182</v>
      </c>
      <c r="BM4" s="2" t="s">
        <v>212</v>
      </c>
      <c r="BN4" s="2" t="s">
        <v>213</v>
      </c>
      <c r="BO4" s="2" t="s">
        <v>214</v>
      </c>
      <c r="BP4" s="2" t="s">
        <v>183</v>
      </c>
      <c r="BQ4" s="2" t="s">
        <v>184</v>
      </c>
      <c r="BR4" s="2" t="s">
        <v>185</v>
      </c>
      <c r="BS4" s="2" t="s">
        <v>186</v>
      </c>
      <c r="BT4" s="2" t="s">
        <v>187</v>
      </c>
      <c r="BU4" s="2" t="s">
        <v>217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f>Table1[[#This Row],[JeffCombineFees]]+Table1[[#This Row],[ZackCombineFees]]</f>
        <v>0</v>
      </c>
      <c r="CI4" s="2">
        <f>SUM(Table1[[#This Row],[LeaseGasolineTotal]:[CombineFeesTotal]])</f>
        <v>0</v>
      </c>
    </row>
    <row r="5" spans="1:87" x14ac:dyDescent="0.35">
      <c r="A5" s="2">
        <v>26</v>
      </c>
      <c r="B5" s="2" t="s">
        <v>29</v>
      </c>
      <c r="C5" s="2" t="s">
        <v>217</v>
      </c>
      <c r="E5" s="2" t="s">
        <v>161</v>
      </c>
      <c r="F5" s="2" t="s">
        <v>159</v>
      </c>
      <c r="G5" s="2" t="s">
        <v>118</v>
      </c>
      <c r="H5" s="2" t="s">
        <v>28</v>
      </c>
      <c r="I5" s="2" t="s">
        <v>27</v>
      </c>
      <c r="K5" s="2"/>
      <c r="AQ5" s="2">
        <v>2.65</v>
      </c>
      <c r="AR5" s="2">
        <v>2.93</v>
      </c>
      <c r="AS5" s="2">
        <v>1.25</v>
      </c>
      <c r="AT5" s="2">
        <v>7</v>
      </c>
      <c r="AU5" s="4">
        <v>3</v>
      </c>
      <c r="AV5" s="1">
        <v>40</v>
      </c>
      <c r="AW5" s="1">
        <v>65</v>
      </c>
      <c r="AX5" s="1">
        <v>80</v>
      </c>
      <c r="AY5" s="2">
        <v>1</v>
      </c>
      <c r="AZ5" s="2">
        <v>5</v>
      </c>
      <c r="BA5" s="2">
        <v>5</v>
      </c>
      <c r="BB5" s="2">
        <v>100</v>
      </c>
      <c r="BC5" s="2">
        <v>200</v>
      </c>
      <c r="BD5" s="2">
        <v>0.2</v>
      </c>
      <c r="BE5" s="2" t="str">
        <f>_xlfn.CONCAT(Table1[[#This Row],[GasRate]]," + ",Table1[[#This Row],[LaborFeeLeaseRate]])</f>
        <v>$ 2.65/Gal. + $ 0.2/Gal.</v>
      </c>
      <c r="BF5" s="2" t="str">
        <f>_xlfn.CONCAT(Table1[[#This Row],[DieselRate]]," + ",Table1[[#This Row],[LaborFeeLeaseRate]])</f>
        <v>$ 2.93/Gal. + $ 0.2/Gal.</v>
      </c>
      <c r="BG5" s="2" t="str">
        <f>_xlfn.CONCAT("$ ",Table1[[#This Row],[LaborFeeLease]],"/Gal.")</f>
        <v>$ 0.2/Gal.</v>
      </c>
      <c r="BH5" s="2" t="s">
        <v>178</v>
      </c>
      <c r="BI5" s="2" t="s">
        <v>179</v>
      </c>
      <c r="BJ5" s="2" t="s">
        <v>180</v>
      </c>
      <c r="BK5" s="2" t="s">
        <v>181</v>
      </c>
      <c r="BL5" s="2" t="s">
        <v>182</v>
      </c>
      <c r="BM5" s="2" t="s">
        <v>212</v>
      </c>
      <c r="BN5" s="2" t="s">
        <v>213</v>
      </c>
      <c r="BO5" s="2" t="s">
        <v>214</v>
      </c>
      <c r="BP5" s="2" t="s">
        <v>183</v>
      </c>
      <c r="BQ5" s="2" t="s">
        <v>184</v>
      </c>
      <c r="BR5" s="2" t="s">
        <v>185</v>
      </c>
      <c r="BS5" s="2" t="s">
        <v>186</v>
      </c>
      <c r="BT5" s="2" t="s">
        <v>187</v>
      </c>
      <c r="BU5" s="2" t="s">
        <v>217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f>Table1[[#This Row],[JeffCombineFees]]+Table1[[#This Row],[ZackCombineFees]]</f>
        <v>0</v>
      </c>
      <c r="CI5" s="2">
        <f>SUM(Table1[[#This Row],[LeaseGasolineTotal]:[CombineFeesTotal]])</f>
        <v>0</v>
      </c>
    </row>
    <row r="6" spans="1:87" x14ac:dyDescent="0.35">
      <c r="A6" s="2">
        <v>26</v>
      </c>
      <c r="B6" s="2" t="s">
        <v>199</v>
      </c>
      <c r="C6" s="2" t="s">
        <v>217</v>
      </c>
      <c r="E6" s="2" t="s">
        <v>161</v>
      </c>
      <c r="F6" s="2" t="s">
        <v>159</v>
      </c>
      <c r="G6" s="2" t="s">
        <v>118</v>
      </c>
      <c r="H6" s="2" t="s">
        <v>31</v>
      </c>
      <c r="I6" s="2" t="s">
        <v>30</v>
      </c>
      <c r="K6" s="2"/>
      <c r="AI6" s="5"/>
      <c r="AL6" s="5"/>
      <c r="AQ6" s="2">
        <v>2.65</v>
      </c>
      <c r="AR6" s="2">
        <v>2.93</v>
      </c>
      <c r="AS6" s="2">
        <v>1.25</v>
      </c>
      <c r="AT6" s="2">
        <v>7</v>
      </c>
      <c r="AU6" s="4">
        <v>3</v>
      </c>
      <c r="AV6" s="1">
        <v>40</v>
      </c>
      <c r="AW6" s="1">
        <v>65</v>
      </c>
      <c r="AX6" s="1">
        <v>80</v>
      </c>
      <c r="AY6" s="2">
        <v>1</v>
      </c>
      <c r="AZ6" s="2">
        <v>5</v>
      </c>
      <c r="BA6" s="2">
        <v>5</v>
      </c>
      <c r="BB6" s="2">
        <v>100</v>
      </c>
      <c r="BC6" s="2">
        <v>200</v>
      </c>
      <c r="BD6" s="2">
        <v>0.2</v>
      </c>
      <c r="BE6" s="2" t="str">
        <f>_xlfn.CONCAT(Table1[[#This Row],[GasRate]]," + ",Table1[[#This Row],[LaborFeeLeaseRate]])</f>
        <v>$ 2.65/Gal. + $ 0.2/Gal.</v>
      </c>
      <c r="BF6" s="2" t="str">
        <f>_xlfn.CONCAT(Table1[[#This Row],[DieselRate]]," + ",Table1[[#This Row],[LaborFeeLeaseRate]])</f>
        <v>$ 2.93/Gal. + $ 0.2/Gal.</v>
      </c>
      <c r="BG6" s="2" t="str">
        <f>_xlfn.CONCAT("$ ",Table1[[#This Row],[LaborFeeLease]],"/Gal.")</f>
        <v>$ 0.2/Gal.</v>
      </c>
      <c r="BH6" s="2" t="s">
        <v>178</v>
      </c>
      <c r="BI6" s="2" t="s">
        <v>179</v>
      </c>
      <c r="BJ6" s="2" t="s">
        <v>180</v>
      </c>
      <c r="BK6" s="2" t="s">
        <v>181</v>
      </c>
      <c r="BL6" s="2" t="s">
        <v>182</v>
      </c>
      <c r="BM6" s="2" t="s">
        <v>212</v>
      </c>
      <c r="BN6" s="2" t="s">
        <v>213</v>
      </c>
      <c r="BO6" s="2" t="s">
        <v>214</v>
      </c>
      <c r="BP6" s="2" t="s">
        <v>183</v>
      </c>
      <c r="BQ6" s="2" t="s">
        <v>184</v>
      </c>
      <c r="BR6" s="2" t="s">
        <v>185</v>
      </c>
      <c r="BS6" s="2" t="s">
        <v>186</v>
      </c>
      <c r="BT6" s="2" t="s">
        <v>187</v>
      </c>
      <c r="BU6" s="2" t="s">
        <v>217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f>Table1[[#This Row],[JeffCombineFees]]+Table1[[#This Row],[ZackCombineFees]]</f>
        <v>0</v>
      </c>
      <c r="CI6" s="2">
        <f>SUM(Table1[[#This Row],[LeaseGasolineTotal]:[CombineFeesTotal]])</f>
        <v>0</v>
      </c>
    </row>
    <row r="7" spans="1:87" x14ac:dyDescent="0.35">
      <c r="A7" s="2">
        <v>26</v>
      </c>
      <c r="B7" s="2" t="s">
        <v>32</v>
      </c>
      <c r="C7" s="2" t="s">
        <v>217</v>
      </c>
      <c r="E7" s="2" t="s">
        <v>161</v>
      </c>
      <c r="F7" s="2" t="s">
        <v>159</v>
      </c>
      <c r="G7" s="2" t="s">
        <v>118</v>
      </c>
      <c r="H7" s="2" t="s">
        <v>104</v>
      </c>
      <c r="I7" s="2" t="s">
        <v>126</v>
      </c>
      <c r="J7" s="6"/>
      <c r="K7" s="6"/>
      <c r="AQ7" s="2">
        <v>2.65</v>
      </c>
      <c r="AR7" s="2">
        <v>2.93</v>
      </c>
      <c r="AS7" s="2">
        <v>1.25</v>
      </c>
      <c r="AT7" s="2">
        <v>7</v>
      </c>
      <c r="AU7" s="4">
        <v>3</v>
      </c>
      <c r="AV7" s="1">
        <v>40</v>
      </c>
      <c r="AW7" s="1">
        <v>65</v>
      </c>
      <c r="AX7" s="1">
        <v>80</v>
      </c>
      <c r="AY7" s="2">
        <v>1</v>
      </c>
      <c r="AZ7" s="2">
        <v>5</v>
      </c>
      <c r="BA7" s="2">
        <v>5</v>
      </c>
      <c r="BB7" s="2">
        <v>100</v>
      </c>
      <c r="BC7" s="2">
        <v>200</v>
      </c>
      <c r="BD7" s="2">
        <v>0.2</v>
      </c>
      <c r="BE7" s="2" t="str">
        <f>_xlfn.CONCAT(Table1[[#This Row],[GasRate]]," + ",Table1[[#This Row],[LaborFeeLeaseRate]])</f>
        <v>$ 2.65/Gal. + $ 0.2/Gal.</v>
      </c>
      <c r="BF7" s="2" t="str">
        <f>_xlfn.CONCAT(Table1[[#This Row],[DieselRate]]," + ",Table1[[#This Row],[LaborFeeLeaseRate]])</f>
        <v>$ 2.93/Gal. + $ 0.2/Gal.</v>
      </c>
      <c r="BG7" s="2" t="str">
        <f>_xlfn.CONCAT("$ ",Table1[[#This Row],[LaborFeeLease]],"/Gal.")</f>
        <v>$ 0.2/Gal.</v>
      </c>
      <c r="BH7" s="2" t="s">
        <v>178</v>
      </c>
      <c r="BI7" s="2" t="s">
        <v>179</v>
      </c>
      <c r="BJ7" s="2" t="s">
        <v>180</v>
      </c>
      <c r="BK7" s="2" t="s">
        <v>181</v>
      </c>
      <c r="BL7" s="2" t="s">
        <v>182</v>
      </c>
      <c r="BM7" s="2" t="s">
        <v>212</v>
      </c>
      <c r="BN7" s="2" t="s">
        <v>213</v>
      </c>
      <c r="BO7" s="2" t="s">
        <v>214</v>
      </c>
      <c r="BP7" s="2" t="s">
        <v>183</v>
      </c>
      <c r="BQ7" s="2" t="s">
        <v>184</v>
      </c>
      <c r="BR7" s="2" t="s">
        <v>185</v>
      </c>
      <c r="BS7" s="2" t="s">
        <v>186</v>
      </c>
      <c r="BT7" s="2" t="s">
        <v>187</v>
      </c>
      <c r="BU7" s="2" t="s">
        <v>217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f>Table1[[#This Row],[JeffCombineFees]]+Table1[[#This Row],[ZackCombineFees]]</f>
        <v>0</v>
      </c>
      <c r="CI7" s="2">
        <f>SUM(Table1[[#This Row],[LeaseGasolineTotal]:[CombineFeesTotal]])</f>
        <v>0</v>
      </c>
    </row>
    <row r="8" spans="1:87" x14ac:dyDescent="0.35">
      <c r="A8" s="2">
        <v>26</v>
      </c>
      <c r="B8" s="2" t="s">
        <v>35</v>
      </c>
      <c r="C8" s="2" t="s">
        <v>217</v>
      </c>
      <c r="E8" s="2" t="s">
        <v>161</v>
      </c>
      <c r="F8" s="2" t="s">
        <v>159</v>
      </c>
      <c r="G8" s="2" t="s">
        <v>130</v>
      </c>
      <c r="H8" s="2" t="s">
        <v>34</v>
      </c>
      <c r="I8" s="2" t="s">
        <v>33</v>
      </c>
      <c r="K8" s="2"/>
      <c r="AI8" s="5"/>
      <c r="AL8" s="5"/>
      <c r="AQ8" s="2">
        <v>2.65</v>
      </c>
      <c r="AR8" s="2">
        <v>2.93</v>
      </c>
      <c r="AS8" s="2">
        <v>1.25</v>
      </c>
      <c r="AT8" s="2">
        <v>7</v>
      </c>
      <c r="AU8" s="4">
        <v>3</v>
      </c>
      <c r="AV8" s="1">
        <v>40</v>
      </c>
      <c r="AW8" s="1">
        <v>65</v>
      </c>
      <c r="AX8" s="1">
        <v>80</v>
      </c>
      <c r="AY8" s="2">
        <v>1</v>
      </c>
      <c r="AZ8" s="2">
        <v>5</v>
      </c>
      <c r="BA8" s="2">
        <v>5</v>
      </c>
      <c r="BB8" s="2">
        <v>100</v>
      </c>
      <c r="BC8" s="2">
        <v>200</v>
      </c>
      <c r="BD8" s="2">
        <v>0.2</v>
      </c>
      <c r="BE8" s="2" t="str">
        <f>_xlfn.CONCAT(Table1[[#This Row],[GasRate]]," + ",Table1[[#This Row],[LaborFeeLeaseRate]])</f>
        <v>$ 2.65/Gal. + $ 0.2/Gal.</v>
      </c>
      <c r="BF8" s="2" t="str">
        <f>_xlfn.CONCAT(Table1[[#This Row],[DieselRate]]," + ",Table1[[#This Row],[LaborFeeLeaseRate]])</f>
        <v>$ 2.93/Gal. + $ 0.2/Gal.</v>
      </c>
      <c r="BG8" s="2" t="str">
        <f>_xlfn.CONCAT("$ ",Table1[[#This Row],[LaborFeeLease]],"/Gal.")</f>
        <v>$ 0.2/Gal.</v>
      </c>
      <c r="BH8" s="2" t="s">
        <v>178</v>
      </c>
      <c r="BI8" s="2" t="s">
        <v>179</v>
      </c>
      <c r="BJ8" s="2" t="s">
        <v>180</v>
      </c>
      <c r="BK8" s="2" t="s">
        <v>181</v>
      </c>
      <c r="BL8" s="2" t="s">
        <v>182</v>
      </c>
      <c r="BM8" s="2" t="s">
        <v>212</v>
      </c>
      <c r="BN8" s="2" t="s">
        <v>213</v>
      </c>
      <c r="BO8" s="2" t="s">
        <v>214</v>
      </c>
      <c r="BP8" s="2" t="s">
        <v>183</v>
      </c>
      <c r="BQ8" s="2" t="s">
        <v>184</v>
      </c>
      <c r="BR8" s="2" t="s">
        <v>185</v>
      </c>
      <c r="BS8" s="2" t="s">
        <v>186</v>
      </c>
      <c r="BT8" s="2" t="s">
        <v>187</v>
      </c>
      <c r="BU8" s="2" t="s">
        <v>217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f>Table1[[#This Row],[JeffCombineFees]]+Table1[[#This Row],[ZackCombineFees]]</f>
        <v>0</v>
      </c>
      <c r="CI8" s="2">
        <f>SUM(Table1[[#This Row],[LeaseGasolineTotal]:[CombineFeesTotal]])</f>
        <v>0</v>
      </c>
    </row>
    <row r="9" spans="1:87" x14ac:dyDescent="0.35">
      <c r="A9" s="2">
        <v>26</v>
      </c>
      <c r="B9" s="2" t="s">
        <v>38</v>
      </c>
      <c r="C9" s="2" t="s">
        <v>217</v>
      </c>
      <c r="E9" s="2" t="s">
        <v>161</v>
      </c>
      <c r="F9" s="2" t="s">
        <v>159</v>
      </c>
      <c r="G9" s="2" t="s">
        <v>116</v>
      </c>
      <c r="H9" s="2" t="s">
        <v>37</v>
      </c>
      <c r="I9" s="2" t="s">
        <v>36</v>
      </c>
      <c r="K9" s="2"/>
      <c r="AQ9" s="2">
        <v>2.65</v>
      </c>
      <c r="AR9" s="2">
        <v>2.93</v>
      </c>
      <c r="AS9" s="2">
        <v>1.25</v>
      </c>
      <c r="AT9" s="2">
        <v>7</v>
      </c>
      <c r="AU9" s="4">
        <v>3</v>
      </c>
      <c r="AV9" s="1">
        <v>40</v>
      </c>
      <c r="AW9" s="1">
        <v>65</v>
      </c>
      <c r="AX9" s="1">
        <v>80</v>
      </c>
      <c r="AY9" s="2">
        <v>1</v>
      </c>
      <c r="AZ9" s="2">
        <v>5</v>
      </c>
      <c r="BA9" s="2">
        <v>5</v>
      </c>
      <c r="BB9" s="2">
        <v>100</v>
      </c>
      <c r="BC9" s="2">
        <v>200</v>
      </c>
      <c r="BD9" s="2">
        <v>0.2</v>
      </c>
      <c r="BE9" s="2" t="str">
        <f>_xlfn.CONCAT(Table1[[#This Row],[GasRate]]," + ",Table1[[#This Row],[LaborFeeLeaseRate]])</f>
        <v>$ 2.65/Gal. + $ 0.2/Gal.</v>
      </c>
      <c r="BF9" s="2" t="str">
        <f>_xlfn.CONCAT(Table1[[#This Row],[DieselRate]]," + ",Table1[[#This Row],[LaborFeeLeaseRate]])</f>
        <v>$ 2.93/Gal. + $ 0.2/Gal.</v>
      </c>
      <c r="BG9" s="2" t="str">
        <f>_xlfn.CONCAT("$ ",Table1[[#This Row],[LaborFeeLease]],"/Gal.")</f>
        <v>$ 0.2/Gal.</v>
      </c>
      <c r="BH9" s="2" t="s">
        <v>178</v>
      </c>
      <c r="BI9" s="2" t="s">
        <v>179</v>
      </c>
      <c r="BJ9" s="2" t="s">
        <v>180</v>
      </c>
      <c r="BK9" s="2" t="s">
        <v>181</v>
      </c>
      <c r="BL9" s="2" t="s">
        <v>182</v>
      </c>
      <c r="BM9" s="2" t="s">
        <v>212</v>
      </c>
      <c r="BN9" s="2" t="s">
        <v>213</v>
      </c>
      <c r="BO9" s="2" t="s">
        <v>214</v>
      </c>
      <c r="BP9" s="2" t="s">
        <v>183</v>
      </c>
      <c r="BQ9" s="2" t="s">
        <v>184</v>
      </c>
      <c r="BR9" s="2" t="s">
        <v>185</v>
      </c>
      <c r="BS9" s="2" t="s">
        <v>186</v>
      </c>
      <c r="BT9" s="2" t="s">
        <v>187</v>
      </c>
      <c r="BU9" s="2" t="s">
        <v>217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f>Table1[[#This Row],[JeffCombineFees]]+Table1[[#This Row],[ZackCombineFees]]</f>
        <v>0</v>
      </c>
      <c r="CI9" s="2">
        <f>SUM(Table1[[#This Row],[LeaseGasolineTotal]:[CombineFeesTotal]])</f>
        <v>0</v>
      </c>
    </row>
    <row r="10" spans="1:87" x14ac:dyDescent="0.35">
      <c r="A10" s="2">
        <v>26</v>
      </c>
      <c r="B10" s="2" t="s">
        <v>41</v>
      </c>
      <c r="C10" s="2" t="s">
        <v>217</v>
      </c>
      <c r="E10" s="2" t="s">
        <v>161</v>
      </c>
      <c r="F10" s="2" t="s">
        <v>159</v>
      </c>
      <c r="G10" s="2" t="s">
        <v>122</v>
      </c>
      <c r="H10" s="2" t="s">
        <v>40</v>
      </c>
      <c r="I10" s="2" t="s">
        <v>39</v>
      </c>
      <c r="K10" s="2"/>
      <c r="AQ10" s="2">
        <v>2.65</v>
      </c>
      <c r="AR10" s="2">
        <v>2.93</v>
      </c>
      <c r="AS10" s="2">
        <v>1.25</v>
      </c>
      <c r="AT10" s="2">
        <v>7</v>
      </c>
      <c r="AU10" s="4">
        <v>3</v>
      </c>
      <c r="AV10" s="1">
        <v>40</v>
      </c>
      <c r="AW10" s="1">
        <v>65</v>
      </c>
      <c r="AX10" s="1">
        <v>80</v>
      </c>
      <c r="AY10" s="2">
        <v>1</v>
      </c>
      <c r="AZ10" s="2">
        <v>5</v>
      </c>
      <c r="BA10" s="2">
        <v>5</v>
      </c>
      <c r="BB10" s="2">
        <v>100</v>
      </c>
      <c r="BC10" s="2">
        <v>200</v>
      </c>
      <c r="BD10" s="2">
        <v>0.2</v>
      </c>
      <c r="BE10" s="2" t="str">
        <f>_xlfn.CONCAT(Table1[[#This Row],[GasRate]]," + ",Table1[[#This Row],[LaborFeeLeaseRate]])</f>
        <v>$ 2.65/Gal. + $ 0.2/Gal.</v>
      </c>
      <c r="BF10" s="2" t="str">
        <f>_xlfn.CONCAT(Table1[[#This Row],[DieselRate]]," + ",Table1[[#This Row],[LaborFeeLeaseRate]])</f>
        <v>$ 2.93/Gal. + $ 0.2/Gal.</v>
      </c>
      <c r="BG10" s="2" t="str">
        <f>_xlfn.CONCAT("$ ",Table1[[#This Row],[LaborFeeLease]],"/Gal.")</f>
        <v>$ 0.2/Gal.</v>
      </c>
      <c r="BH10" s="2" t="s">
        <v>178</v>
      </c>
      <c r="BI10" s="2" t="s">
        <v>179</v>
      </c>
      <c r="BJ10" s="2" t="s">
        <v>180</v>
      </c>
      <c r="BK10" s="2" t="s">
        <v>181</v>
      </c>
      <c r="BL10" s="2" t="s">
        <v>182</v>
      </c>
      <c r="BM10" s="2" t="s">
        <v>212</v>
      </c>
      <c r="BN10" s="2" t="s">
        <v>213</v>
      </c>
      <c r="BO10" s="2" t="s">
        <v>214</v>
      </c>
      <c r="BP10" s="2" t="s">
        <v>183</v>
      </c>
      <c r="BQ10" s="2" t="s">
        <v>184</v>
      </c>
      <c r="BR10" s="2" t="s">
        <v>185</v>
      </c>
      <c r="BS10" s="2" t="s">
        <v>186</v>
      </c>
      <c r="BT10" s="2" t="s">
        <v>187</v>
      </c>
      <c r="BU10" s="2" t="s">
        <v>217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f>Table1[[#This Row],[JeffCombineFees]]+Table1[[#This Row],[ZackCombineFees]]</f>
        <v>0</v>
      </c>
      <c r="CI10" s="2">
        <f>SUM(Table1[[#This Row],[LeaseGasolineTotal]:[CombineFeesTotal]])</f>
        <v>0</v>
      </c>
    </row>
    <row r="11" spans="1:87" x14ac:dyDescent="0.35">
      <c r="A11" s="2">
        <v>26</v>
      </c>
      <c r="B11" s="2" t="s">
        <v>44</v>
      </c>
      <c r="C11" s="2" t="s">
        <v>217</v>
      </c>
      <c r="E11" s="2" t="s">
        <v>161</v>
      </c>
      <c r="F11" s="2" t="s">
        <v>159</v>
      </c>
      <c r="G11" s="2" t="s">
        <v>122</v>
      </c>
      <c r="H11" s="2" t="s">
        <v>101</v>
      </c>
      <c r="I11" s="2" t="s">
        <v>123</v>
      </c>
      <c r="J11" s="6"/>
      <c r="K11" s="6"/>
      <c r="AQ11" s="2">
        <v>2.65</v>
      </c>
      <c r="AR11" s="2">
        <v>2.93</v>
      </c>
      <c r="AS11" s="2">
        <v>1.25</v>
      </c>
      <c r="AT11" s="2">
        <v>7</v>
      </c>
      <c r="AU11" s="4">
        <v>3</v>
      </c>
      <c r="AV11" s="1">
        <v>40</v>
      </c>
      <c r="AW11" s="1">
        <v>65</v>
      </c>
      <c r="AX11" s="1">
        <v>80</v>
      </c>
      <c r="AY11" s="2">
        <v>1</v>
      </c>
      <c r="AZ11" s="2">
        <v>5</v>
      </c>
      <c r="BA11" s="2">
        <v>5</v>
      </c>
      <c r="BB11" s="2">
        <v>100</v>
      </c>
      <c r="BC11" s="2">
        <v>200</v>
      </c>
      <c r="BD11" s="2">
        <v>0.2</v>
      </c>
      <c r="BE11" s="2" t="str">
        <f>_xlfn.CONCAT(Table1[[#This Row],[GasRate]]," + ",Table1[[#This Row],[LaborFeeLeaseRate]])</f>
        <v>$ 2.65/Gal. + $ 0.2/Gal.</v>
      </c>
      <c r="BF11" s="2" t="str">
        <f>_xlfn.CONCAT(Table1[[#This Row],[DieselRate]]," + ",Table1[[#This Row],[LaborFeeLeaseRate]])</f>
        <v>$ 2.93/Gal. + $ 0.2/Gal.</v>
      </c>
      <c r="BG11" s="2" t="str">
        <f>_xlfn.CONCAT("$ ",Table1[[#This Row],[LaborFeeLease]],"/Gal.")</f>
        <v>$ 0.2/Gal.</v>
      </c>
      <c r="BH11" s="2" t="s">
        <v>178</v>
      </c>
      <c r="BI11" s="2" t="s">
        <v>179</v>
      </c>
      <c r="BJ11" s="2" t="s">
        <v>180</v>
      </c>
      <c r="BK11" s="2" t="s">
        <v>181</v>
      </c>
      <c r="BL11" s="2" t="s">
        <v>182</v>
      </c>
      <c r="BM11" s="2" t="s">
        <v>212</v>
      </c>
      <c r="BN11" s="2" t="s">
        <v>213</v>
      </c>
      <c r="BO11" s="2" t="s">
        <v>214</v>
      </c>
      <c r="BP11" s="2" t="s">
        <v>183</v>
      </c>
      <c r="BQ11" s="2" t="s">
        <v>184</v>
      </c>
      <c r="BR11" s="2" t="s">
        <v>185</v>
      </c>
      <c r="BS11" s="2" t="s">
        <v>186</v>
      </c>
      <c r="BT11" s="2" t="s">
        <v>187</v>
      </c>
      <c r="BU11" s="2" t="s">
        <v>217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f>Table1[[#This Row],[JeffCombineFees]]+Table1[[#This Row],[ZackCombineFees]]</f>
        <v>0</v>
      </c>
      <c r="CI11" s="2">
        <f>SUM(Table1[[#This Row],[LeaseGasolineTotal]:[CombineFeesTotal]])</f>
        <v>0</v>
      </c>
    </row>
    <row r="12" spans="1:87" x14ac:dyDescent="0.35">
      <c r="A12" s="2">
        <v>26</v>
      </c>
      <c r="B12" s="2" t="s">
        <v>47</v>
      </c>
      <c r="C12" s="2" t="s">
        <v>217</v>
      </c>
      <c r="E12" s="2" t="s">
        <v>161</v>
      </c>
      <c r="F12" s="2" t="s">
        <v>159</v>
      </c>
      <c r="G12" s="2" t="s">
        <v>118</v>
      </c>
      <c r="H12" s="2" t="s">
        <v>43</v>
      </c>
      <c r="I12" s="2" t="s">
        <v>42</v>
      </c>
      <c r="K12" s="2"/>
      <c r="AQ12" s="2">
        <v>2.65</v>
      </c>
      <c r="AR12" s="2">
        <v>2.93</v>
      </c>
      <c r="AS12" s="2">
        <v>1.25</v>
      </c>
      <c r="AT12" s="2">
        <v>7</v>
      </c>
      <c r="AU12" s="4">
        <v>3</v>
      </c>
      <c r="AV12" s="1">
        <v>40</v>
      </c>
      <c r="AW12" s="1">
        <v>65</v>
      </c>
      <c r="AX12" s="1">
        <v>80</v>
      </c>
      <c r="AY12" s="2">
        <v>1</v>
      </c>
      <c r="AZ12" s="2">
        <v>5</v>
      </c>
      <c r="BA12" s="2">
        <v>5</v>
      </c>
      <c r="BB12" s="2">
        <v>100</v>
      </c>
      <c r="BC12" s="2">
        <v>200</v>
      </c>
      <c r="BD12" s="2">
        <v>0.2</v>
      </c>
      <c r="BE12" s="2" t="str">
        <f>_xlfn.CONCAT(Table1[[#This Row],[GasRate]]," + ",Table1[[#This Row],[LaborFeeLeaseRate]])</f>
        <v>$ 2.65/Gal. + $ 0.2/Gal.</v>
      </c>
      <c r="BF12" s="2" t="str">
        <f>_xlfn.CONCAT(Table1[[#This Row],[DieselRate]]," + ",Table1[[#This Row],[LaborFeeLeaseRate]])</f>
        <v>$ 2.93/Gal. + $ 0.2/Gal.</v>
      </c>
      <c r="BG12" s="2" t="str">
        <f>_xlfn.CONCAT("$ ",Table1[[#This Row],[LaborFeeLease]],"/Gal.")</f>
        <v>$ 0.2/Gal.</v>
      </c>
      <c r="BH12" s="2" t="s">
        <v>178</v>
      </c>
      <c r="BI12" s="2" t="s">
        <v>179</v>
      </c>
      <c r="BJ12" s="2" t="s">
        <v>180</v>
      </c>
      <c r="BK12" s="2" t="s">
        <v>181</v>
      </c>
      <c r="BL12" s="2" t="s">
        <v>182</v>
      </c>
      <c r="BM12" s="2" t="s">
        <v>212</v>
      </c>
      <c r="BN12" s="2" t="s">
        <v>213</v>
      </c>
      <c r="BO12" s="2" t="s">
        <v>214</v>
      </c>
      <c r="BP12" s="2" t="s">
        <v>183</v>
      </c>
      <c r="BQ12" s="2" t="s">
        <v>184</v>
      </c>
      <c r="BR12" s="2" t="s">
        <v>185</v>
      </c>
      <c r="BS12" s="2" t="s">
        <v>186</v>
      </c>
      <c r="BT12" s="2" t="s">
        <v>187</v>
      </c>
      <c r="BU12" s="2" t="s">
        <v>217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f>Table1[[#This Row],[JeffCombineFees]]+Table1[[#This Row],[ZackCombineFees]]</f>
        <v>0</v>
      </c>
      <c r="CI12" s="2">
        <f>SUM(Table1[[#This Row],[LeaseGasolineTotal]:[CombineFeesTotal]])</f>
        <v>0</v>
      </c>
    </row>
    <row r="13" spans="1:87" x14ac:dyDescent="0.35">
      <c r="A13" s="2">
        <v>26</v>
      </c>
      <c r="B13" s="2" t="s">
        <v>50</v>
      </c>
      <c r="C13" s="2" t="s">
        <v>217</v>
      </c>
      <c r="E13" s="2" t="s">
        <v>161</v>
      </c>
      <c r="F13" s="2" t="s">
        <v>159</v>
      </c>
      <c r="G13" s="2" t="s">
        <v>152</v>
      </c>
      <c r="H13" s="2" t="s">
        <v>46</v>
      </c>
      <c r="I13" s="2" t="s">
        <v>45</v>
      </c>
      <c r="K13" s="2"/>
      <c r="AQ13" s="2">
        <v>2.65</v>
      </c>
      <c r="AR13" s="2">
        <v>2.93</v>
      </c>
      <c r="AS13" s="2">
        <v>1.25</v>
      </c>
      <c r="AT13" s="2">
        <v>7</v>
      </c>
      <c r="AU13" s="4">
        <v>3</v>
      </c>
      <c r="AV13" s="1">
        <v>40</v>
      </c>
      <c r="AW13" s="1">
        <v>65</v>
      </c>
      <c r="AX13" s="1">
        <v>80</v>
      </c>
      <c r="AY13" s="2">
        <v>1</v>
      </c>
      <c r="AZ13" s="2">
        <v>5</v>
      </c>
      <c r="BA13" s="2">
        <v>5</v>
      </c>
      <c r="BB13" s="2">
        <v>100</v>
      </c>
      <c r="BC13" s="2">
        <v>200</v>
      </c>
      <c r="BD13" s="2">
        <v>0.2</v>
      </c>
      <c r="BE13" s="2" t="str">
        <f>_xlfn.CONCAT(Table1[[#This Row],[GasRate]]," + ",Table1[[#This Row],[LaborFeeLeaseRate]])</f>
        <v>$ 2.65/Gal. + $ 0.2/Gal.</v>
      </c>
      <c r="BF13" s="2" t="str">
        <f>_xlfn.CONCAT(Table1[[#This Row],[DieselRate]]," + ",Table1[[#This Row],[LaborFeeLeaseRate]])</f>
        <v>$ 2.93/Gal. + $ 0.2/Gal.</v>
      </c>
      <c r="BG13" s="2" t="str">
        <f>_xlfn.CONCAT("$ ",Table1[[#This Row],[LaborFeeLease]],"/Gal.")</f>
        <v>$ 0.2/Gal.</v>
      </c>
      <c r="BH13" s="2" t="s">
        <v>178</v>
      </c>
      <c r="BI13" s="2" t="s">
        <v>179</v>
      </c>
      <c r="BJ13" s="2" t="s">
        <v>180</v>
      </c>
      <c r="BK13" s="2" t="s">
        <v>181</v>
      </c>
      <c r="BL13" s="2" t="s">
        <v>182</v>
      </c>
      <c r="BM13" s="2" t="s">
        <v>212</v>
      </c>
      <c r="BN13" s="2" t="s">
        <v>213</v>
      </c>
      <c r="BO13" s="2" t="s">
        <v>214</v>
      </c>
      <c r="BP13" s="2" t="s">
        <v>183</v>
      </c>
      <c r="BQ13" s="2" t="s">
        <v>184</v>
      </c>
      <c r="BR13" s="2" t="s">
        <v>185</v>
      </c>
      <c r="BS13" s="2" t="s">
        <v>186</v>
      </c>
      <c r="BT13" s="2" t="s">
        <v>187</v>
      </c>
      <c r="BU13" s="2" t="s">
        <v>217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f>Table1[[#This Row],[JeffCombineFees]]+Table1[[#This Row],[ZackCombineFees]]</f>
        <v>0</v>
      </c>
      <c r="CI13" s="2">
        <f>SUM(Table1[[#This Row],[LeaseGasolineTotal]:[CombineFeesTotal]])</f>
        <v>0</v>
      </c>
    </row>
    <row r="14" spans="1:87" x14ac:dyDescent="0.35">
      <c r="A14" s="2">
        <v>26</v>
      </c>
      <c r="B14" s="2" t="s">
        <v>53</v>
      </c>
      <c r="C14" s="2" t="s">
        <v>217</v>
      </c>
      <c r="E14" s="2" t="s">
        <v>161</v>
      </c>
      <c r="F14" s="2" t="s">
        <v>159</v>
      </c>
      <c r="G14" s="2" t="s">
        <v>118</v>
      </c>
      <c r="H14" s="2" t="s">
        <v>49</v>
      </c>
      <c r="I14" s="2" t="s">
        <v>48</v>
      </c>
      <c r="K14" s="2"/>
      <c r="AQ14" s="2">
        <v>2.65</v>
      </c>
      <c r="AR14" s="2">
        <v>2.93</v>
      </c>
      <c r="AS14" s="2">
        <v>1.25</v>
      </c>
      <c r="AT14" s="2">
        <v>7</v>
      </c>
      <c r="AU14" s="4">
        <v>3</v>
      </c>
      <c r="AV14" s="1">
        <v>40</v>
      </c>
      <c r="AW14" s="1">
        <v>65</v>
      </c>
      <c r="AX14" s="1">
        <v>80</v>
      </c>
      <c r="AY14" s="2">
        <v>1</v>
      </c>
      <c r="AZ14" s="2">
        <v>5</v>
      </c>
      <c r="BA14" s="2">
        <v>5</v>
      </c>
      <c r="BB14" s="2">
        <v>100</v>
      </c>
      <c r="BC14" s="2">
        <v>200</v>
      </c>
      <c r="BD14" s="2">
        <v>0.2</v>
      </c>
      <c r="BE14" s="2" t="str">
        <f>_xlfn.CONCAT(Table1[[#This Row],[GasRate]]," + ",Table1[[#This Row],[LaborFeeLeaseRate]])</f>
        <v>$ 2.65/Gal. + $ 0.2/Gal.</v>
      </c>
      <c r="BF14" s="2" t="str">
        <f>_xlfn.CONCAT(Table1[[#This Row],[DieselRate]]," + ",Table1[[#This Row],[LaborFeeLeaseRate]])</f>
        <v>$ 2.93/Gal. + $ 0.2/Gal.</v>
      </c>
      <c r="BG14" s="2" t="str">
        <f>_xlfn.CONCAT("$ ",Table1[[#This Row],[LaborFeeLease]],"/Gal.")</f>
        <v>$ 0.2/Gal.</v>
      </c>
      <c r="BH14" s="2" t="s">
        <v>178</v>
      </c>
      <c r="BI14" s="2" t="s">
        <v>179</v>
      </c>
      <c r="BJ14" s="2" t="s">
        <v>180</v>
      </c>
      <c r="BK14" s="2" t="s">
        <v>181</v>
      </c>
      <c r="BL14" s="2" t="s">
        <v>182</v>
      </c>
      <c r="BM14" s="2" t="s">
        <v>212</v>
      </c>
      <c r="BN14" s="2" t="s">
        <v>213</v>
      </c>
      <c r="BO14" s="2" t="s">
        <v>214</v>
      </c>
      <c r="BP14" s="2" t="s">
        <v>183</v>
      </c>
      <c r="BQ14" s="2" t="s">
        <v>184</v>
      </c>
      <c r="BR14" s="2" t="s">
        <v>185</v>
      </c>
      <c r="BS14" s="2" t="s">
        <v>186</v>
      </c>
      <c r="BT14" s="2" t="s">
        <v>187</v>
      </c>
      <c r="BU14" s="2" t="s">
        <v>217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f>Table1[[#This Row],[JeffCombineFees]]+Table1[[#This Row],[ZackCombineFees]]</f>
        <v>0</v>
      </c>
      <c r="CI14" s="2">
        <f>SUM(Table1[[#This Row],[LeaseGasolineTotal]:[CombineFeesTotal]])</f>
        <v>0</v>
      </c>
    </row>
    <row r="15" spans="1:87" x14ac:dyDescent="0.35">
      <c r="A15" s="2">
        <v>26</v>
      </c>
      <c r="B15" s="2" t="s">
        <v>56</v>
      </c>
      <c r="C15" s="2" t="s">
        <v>217</v>
      </c>
      <c r="E15" s="2" t="s">
        <v>161</v>
      </c>
      <c r="F15" s="2" t="s">
        <v>159</v>
      </c>
      <c r="G15" s="2" t="s">
        <v>128</v>
      </c>
      <c r="H15" s="2" t="s">
        <v>105</v>
      </c>
      <c r="I15" s="2" t="s">
        <v>127</v>
      </c>
      <c r="J15" s="6"/>
      <c r="K15" s="6"/>
      <c r="AQ15" s="2">
        <v>2.65</v>
      </c>
      <c r="AR15" s="2">
        <v>2.93</v>
      </c>
      <c r="AS15" s="2">
        <v>1.25</v>
      </c>
      <c r="AT15" s="2">
        <v>7</v>
      </c>
      <c r="AU15" s="4">
        <v>3</v>
      </c>
      <c r="AV15" s="1">
        <v>40</v>
      </c>
      <c r="AW15" s="1">
        <v>65</v>
      </c>
      <c r="AX15" s="1">
        <v>80</v>
      </c>
      <c r="AY15" s="2">
        <v>1</v>
      </c>
      <c r="AZ15" s="2">
        <v>5</v>
      </c>
      <c r="BA15" s="2">
        <v>5</v>
      </c>
      <c r="BB15" s="2">
        <v>100</v>
      </c>
      <c r="BC15" s="2">
        <v>200</v>
      </c>
      <c r="BD15" s="2">
        <v>0.2</v>
      </c>
      <c r="BE15" s="2" t="str">
        <f>_xlfn.CONCAT(Table1[[#This Row],[GasRate]]," + ",Table1[[#This Row],[LaborFeeLeaseRate]])</f>
        <v>$ 2.65/Gal. + $ 0.2/Gal.</v>
      </c>
      <c r="BF15" s="2" t="str">
        <f>_xlfn.CONCAT(Table1[[#This Row],[DieselRate]]," + ",Table1[[#This Row],[LaborFeeLeaseRate]])</f>
        <v>$ 2.93/Gal. + $ 0.2/Gal.</v>
      </c>
      <c r="BG15" s="2" t="str">
        <f>_xlfn.CONCAT("$ ",Table1[[#This Row],[LaborFeeLease]],"/Gal.")</f>
        <v>$ 0.2/Gal.</v>
      </c>
      <c r="BH15" s="2" t="s">
        <v>178</v>
      </c>
      <c r="BI15" s="2" t="s">
        <v>179</v>
      </c>
      <c r="BJ15" s="2" t="s">
        <v>180</v>
      </c>
      <c r="BK15" s="2" t="s">
        <v>181</v>
      </c>
      <c r="BL15" s="2" t="s">
        <v>182</v>
      </c>
      <c r="BM15" s="2" t="s">
        <v>212</v>
      </c>
      <c r="BN15" s="2" t="s">
        <v>213</v>
      </c>
      <c r="BO15" s="2" t="s">
        <v>214</v>
      </c>
      <c r="BP15" s="2" t="s">
        <v>183</v>
      </c>
      <c r="BQ15" s="2" t="s">
        <v>184</v>
      </c>
      <c r="BR15" s="2" t="s">
        <v>185</v>
      </c>
      <c r="BS15" s="2" t="s">
        <v>186</v>
      </c>
      <c r="BT15" s="2" t="s">
        <v>187</v>
      </c>
      <c r="BU15" s="2" t="s">
        <v>217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f>Table1[[#This Row],[JeffCombineFees]]+Table1[[#This Row],[ZackCombineFees]]</f>
        <v>0</v>
      </c>
      <c r="CI15" s="2">
        <f>SUM(Table1[[#This Row],[LeaseGasolineTotal]:[CombineFeesTotal]])</f>
        <v>0</v>
      </c>
    </row>
    <row r="16" spans="1:87" x14ac:dyDescent="0.35">
      <c r="A16" s="2">
        <v>26</v>
      </c>
      <c r="B16" s="2" t="s">
        <v>59</v>
      </c>
      <c r="C16" s="2" t="s">
        <v>217</v>
      </c>
      <c r="E16" s="2" t="s">
        <v>161</v>
      </c>
      <c r="F16" s="2" t="s">
        <v>159</v>
      </c>
      <c r="G16" s="2" t="s">
        <v>118</v>
      </c>
      <c r="H16" s="2" t="s">
        <v>52</v>
      </c>
      <c r="I16" s="2" t="s">
        <v>51</v>
      </c>
      <c r="K16" s="2"/>
      <c r="AQ16" s="2">
        <v>2.65</v>
      </c>
      <c r="AR16" s="2">
        <v>2.93</v>
      </c>
      <c r="AS16" s="2">
        <v>1.25</v>
      </c>
      <c r="AT16" s="2">
        <v>7</v>
      </c>
      <c r="AU16" s="4">
        <v>3</v>
      </c>
      <c r="AV16" s="1">
        <v>40</v>
      </c>
      <c r="AW16" s="1">
        <v>65</v>
      </c>
      <c r="AX16" s="1">
        <v>80</v>
      </c>
      <c r="AY16" s="2">
        <v>1</v>
      </c>
      <c r="AZ16" s="2">
        <v>5</v>
      </c>
      <c r="BA16" s="2">
        <v>5</v>
      </c>
      <c r="BB16" s="2">
        <v>100</v>
      </c>
      <c r="BC16" s="2">
        <v>200</v>
      </c>
      <c r="BD16" s="2">
        <v>0.2</v>
      </c>
      <c r="BE16" s="2" t="str">
        <f>_xlfn.CONCAT(Table1[[#This Row],[GasRate]]," + ",Table1[[#This Row],[LaborFeeLeaseRate]])</f>
        <v>$ 2.65/Gal. + $ 0.2/Gal.</v>
      </c>
      <c r="BF16" s="2" t="str">
        <f>_xlfn.CONCAT(Table1[[#This Row],[DieselRate]]," + ",Table1[[#This Row],[LaborFeeLeaseRate]])</f>
        <v>$ 2.93/Gal. + $ 0.2/Gal.</v>
      </c>
      <c r="BG16" s="2" t="str">
        <f>_xlfn.CONCAT("$ ",Table1[[#This Row],[LaborFeeLease]],"/Gal.")</f>
        <v>$ 0.2/Gal.</v>
      </c>
      <c r="BH16" s="2" t="s">
        <v>178</v>
      </c>
      <c r="BI16" s="2" t="s">
        <v>179</v>
      </c>
      <c r="BJ16" s="2" t="s">
        <v>180</v>
      </c>
      <c r="BK16" s="2" t="s">
        <v>181</v>
      </c>
      <c r="BL16" s="2" t="s">
        <v>182</v>
      </c>
      <c r="BM16" s="2" t="s">
        <v>212</v>
      </c>
      <c r="BN16" s="2" t="s">
        <v>213</v>
      </c>
      <c r="BO16" s="2" t="s">
        <v>214</v>
      </c>
      <c r="BP16" s="2" t="s">
        <v>183</v>
      </c>
      <c r="BQ16" s="2" t="s">
        <v>184</v>
      </c>
      <c r="BR16" s="2" t="s">
        <v>185</v>
      </c>
      <c r="BS16" s="2" t="s">
        <v>186</v>
      </c>
      <c r="BT16" s="2" t="s">
        <v>187</v>
      </c>
      <c r="BU16" s="2" t="s">
        <v>217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f>Table1[[#This Row],[JeffCombineFees]]+Table1[[#This Row],[ZackCombineFees]]</f>
        <v>0</v>
      </c>
      <c r="CI16" s="2">
        <f>SUM(Table1[[#This Row],[LeaseGasolineTotal]:[CombineFeesTotal]])</f>
        <v>0</v>
      </c>
    </row>
    <row r="17" spans="1:87" x14ac:dyDescent="0.35">
      <c r="A17" s="2">
        <v>26</v>
      </c>
      <c r="B17" s="2" t="s">
        <v>62</v>
      </c>
      <c r="C17" s="2" t="s">
        <v>217</v>
      </c>
      <c r="E17" s="2" t="s">
        <v>161</v>
      </c>
      <c r="F17" s="2" t="s">
        <v>159</v>
      </c>
      <c r="G17" s="2" t="s">
        <v>118</v>
      </c>
      <c r="H17" s="2" t="s">
        <v>55</v>
      </c>
      <c r="I17" s="2" t="s">
        <v>54</v>
      </c>
      <c r="K17" s="2"/>
      <c r="AI17" s="5"/>
      <c r="AQ17" s="2">
        <v>2.65</v>
      </c>
      <c r="AR17" s="2">
        <v>2.93</v>
      </c>
      <c r="AS17" s="2">
        <v>1.25</v>
      </c>
      <c r="AT17" s="2">
        <v>7</v>
      </c>
      <c r="AU17" s="4">
        <v>3</v>
      </c>
      <c r="AV17" s="1">
        <v>40</v>
      </c>
      <c r="AW17" s="1">
        <v>65</v>
      </c>
      <c r="AX17" s="1">
        <v>80</v>
      </c>
      <c r="AY17" s="2">
        <v>1</v>
      </c>
      <c r="AZ17" s="2">
        <v>5</v>
      </c>
      <c r="BA17" s="2">
        <v>5</v>
      </c>
      <c r="BB17" s="2">
        <v>100</v>
      </c>
      <c r="BC17" s="2">
        <v>200</v>
      </c>
      <c r="BD17" s="2">
        <v>0.2</v>
      </c>
      <c r="BE17" s="2" t="str">
        <f>_xlfn.CONCAT(Table1[[#This Row],[GasRate]]," + ",Table1[[#This Row],[LaborFeeLeaseRate]])</f>
        <v>$ 2.65/Gal. + $ 0.2/Gal.</v>
      </c>
      <c r="BF17" s="2" t="str">
        <f>_xlfn.CONCAT(Table1[[#This Row],[DieselRate]]," + ",Table1[[#This Row],[LaborFeeLeaseRate]])</f>
        <v>$ 2.93/Gal. + $ 0.2/Gal.</v>
      </c>
      <c r="BG17" s="2" t="str">
        <f>_xlfn.CONCAT("$ ",Table1[[#This Row],[LaborFeeLease]],"/Gal.")</f>
        <v>$ 0.2/Gal.</v>
      </c>
      <c r="BH17" s="2" t="s">
        <v>178</v>
      </c>
      <c r="BI17" s="2" t="s">
        <v>179</v>
      </c>
      <c r="BJ17" s="2" t="s">
        <v>180</v>
      </c>
      <c r="BK17" s="2" t="s">
        <v>181</v>
      </c>
      <c r="BL17" s="2" t="s">
        <v>182</v>
      </c>
      <c r="BM17" s="2" t="s">
        <v>212</v>
      </c>
      <c r="BN17" s="2" t="s">
        <v>213</v>
      </c>
      <c r="BO17" s="2" t="s">
        <v>214</v>
      </c>
      <c r="BP17" s="2" t="s">
        <v>183</v>
      </c>
      <c r="BQ17" s="2" t="s">
        <v>184</v>
      </c>
      <c r="BR17" s="2" t="s">
        <v>185</v>
      </c>
      <c r="BS17" s="2" t="s">
        <v>186</v>
      </c>
      <c r="BT17" s="2" t="s">
        <v>187</v>
      </c>
      <c r="BU17" s="2" t="s">
        <v>217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f>Table1[[#This Row],[JeffCombineFees]]+Table1[[#This Row],[ZackCombineFees]]</f>
        <v>0</v>
      </c>
      <c r="CI17" s="2">
        <f>SUM(Table1[[#This Row],[LeaseGasolineTotal]:[CombineFeesTotal]])</f>
        <v>0</v>
      </c>
    </row>
    <row r="18" spans="1:87" x14ac:dyDescent="0.35">
      <c r="A18" s="2">
        <v>26</v>
      </c>
      <c r="B18" s="2" t="s">
        <v>65</v>
      </c>
      <c r="C18" s="2" t="s">
        <v>217</v>
      </c>
      <c r="E18" s="2" t="s">
        <v>161</v>
      </c>
      <c r="F18" s="2" t="s">
        <v>159</v>
      </c>
      <c r="G18" s="2" t="s">
        <v>128</v>
      </c>
      <c r="H18" s="2" t="s">
        <v>58</v>
      </c>
      <c r="I18" s="2" t="s">
        <v>57</v>
      </c>
      <c r="K18" s="2"/>
      <c r="AQ18" s="2">
        <v>2.65</v>
      </c>
      <c r="AR18" s="2">
        <v>2.93</v>
      </c>
      <c r="AS18" s="2">
        <v>1.25</v>
      </c>
      <c r="AT18" s="2">
        <v>7</v>
      </c>
      <c r="AU18" s="4">
        <v>3</v>
      </c>
      <c r="AV18" s="1">
        <v>40</v>
      </c>
      <c r="AW18" s="1">
        <v>65</v>
      </c>
      <c r="AX18" s="1">
        <v>80</v>
      </c>
      <c r="AY18" s="2">
        <v>1</v>
      </c>
      <c r="AZ18" s="2">
        <v>5</v>
      </c>
      <c r="BA18" s="2">
        <v>5</v>
      </c>
      <c r="BB18" s="2">
        <v>100</v>
      </c>
      <c r="BC18" s="2">
        <v>200</v>
      </c>
      <c r="BD18" s="2">
        <v>0.2</v>
      </c>
      <c r="BE18" s="2" t="str">
        <f>_xlfn.CONCAT(Table1[[#This Row],[GasRate]]," + ",Table1[[#This Row],[LaborFeeLeaseRate]])</f>
        <v>$ 2.65/Gal. + $ 0.2/Gal.</v>
      </c>
      <c r="BF18" s="2" t="str">
        <f>_xlfn.CONCAT(Table1[[#This Row],[DieselRate]]," + ",Table1[[#This Row],[LaborFeeLeaseRate]])</f>
        <v>$ 2.93/Gal. + $ 0.2/Gal.</v>
      </c>
      <c r="BG18" s="2" t="str">
        <f>_xlfn.CONCAT("$ ",Table1[[#This Row],[LaborFeeLease]],"/Gal.")</f>
        <v>$ 0.2/Gal.</v>
      </c>
      <c r="BH18" s="2" t="s">
        <v>178</v>
      </c>
      <c r="BI18" s="2" t="s">
        <v>179</v>
      </c>
      <c r="BJ18" s="2" t="s">
        <v>180</v>
      </c>
      <c r="BK18" s="2" t="s">
        <v>181</v>
      </c>
      <c r="BL18" s="2" t="s">
        <v>182</v>
      </c>
      <c r="BM18" s="2" t="s">
        <v>212</v>
      </c>
      <c r="BN18" s="2" t="s">
        <v>213</v>
      </c>
      <c r="BO18" s="2" t="s">
        <v>214</v>
      </c>
      <c r="BP18" s="2" t="s">
        <v>183</v>
      </c>
      <c r="BQ18" s="2" t="s">
        <v>184</v>
      </c>
      <c r="BR18" s="2" t="s">
        <v>185</v>
      </c>
      <c r="BS18" s="2" t="s">
        <v>186</v>
      </c>
      <c r="BT18" s="2" t="s">
        <v>187</v>
      </c>
      <c r="BU18" s="2" t="s">
        <v>217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f>Table1[[#This Row],[JeffCombineFees]]+Table1[[#This Row],[ZackCombineFees]]</f>
        <v>0</v>
      </c>
      <c r="CI18" s="2">
        <f>SUM(Table1[[#This Row],[LeaseGasolineTotal]:[CombineFeesTotal]])</f>
        <v>0</v>
      </c>
    </row>
    <row r="19" spans="1:87" x14ac:dyDescent="0.35">
      <c r="A19" s="2">
        <v>26</v>
      </c>
      <c r="B19" s="2" t="s">
        <v>68</v>
      </c>
      <c r="C19" s="2" t="s">
        <v>217</v>
      </c>
      <c r="E19" s="2" t="s">
        <v>161</v>
      </c>
      <c r="F19" s="2" t="s">
        <v>159</v>
      </c>
      <c r="G19" s="2" t="s">
        <v>118</v>
      </c>
      <c r="H19" s="2" t="s">
        <v>99</v>
      </c>
      <c r="I19" s="2" t="s">
        <v>117</v>
      </c>
      <c r="J19" s="6"/>
      <c r="K19" s="6"/>
      <c r="AQ19" s="2">
        <v>2.65</v>
      </c>
      <c r="AR19" s="2">
        <v>2.93</v>
      </c>
      <c r="AS19" s="2">
        <v>1.25</v>
      </c>
      <c r="AT19" s="2">
        <v>7</v>
      </c>
      <c r="AU19" s="4">
        <v>3</v>
      </c>
      <c r="AV19" s="1">
        <v>40</v>
      </c>
      <c r="AW19" s="1">
        <v>65</v>
      </c>
      <c r="AX19" s="1">
        <v>80</v>
      </c>
      <c r="AY19" s="2">
        <v>1</v>
      </c>
      <c r="AZ19" s="2">
        <v>5</v>
      </c>
      <c r="BA19" s="2">
        <v>5</v>
      </c>
      <c r="BB19" s="2">
        <v>100</v>
      </c>
      <c r="BC19" s="2">
        <v>200</v>
      </c>
      <c r="BD19" s="2">
        <v>0.2</v>
      </c>
      <c r="BE19" s="2" t="str">
        <f>_xlfn.CONCAT(Table1[[#This Row],[GasRate]]," + ",Table1[[#This Row],[LaborFeeLeaseRate]])</f>
        <v>$ 2.65/Gal. + $ 0.2/Gal.</v>
      </c>
      <c r="BF19" s="2" t="str">
        <f>_xlfn.CONCAT(Table1[[#This Row],[DieselRate]]," + ",Table1[[#This Row],[LaborFeeLeaseRate]])</f>
        <v>$ 2.93/Gal. + $ 0.2/Gal.</v>
      </c>
      <c r="BG19" s="2" t="str">
        <f>_xlfn.CONCAT("$ ",Table1[[#This Row],[LaborFeeLease]],"/Gal.")</f>
        <v>$ 0.2/Gal.</v>
      </c>
      <c r="BH19" s="2" t="s">
        <v>178</v>
      </c>
      <c r="BI19" s="2" t="s">
        <v>179</v>
      </c>
      <c r="BJ19" s="2" t="s">
        <v>180</v>
      </c>
      <c r="BK19" s="2" t="s">
        <v>181</v>
      </c>
      <c r="BL19" s="2" t="s">
        <v>182</v>
      </c>
      <c r="BM19" s="2" t="s">
        <v>212</v>
      </c>
      <c r="BN19" s="2" t="s">
        <v>213</v>
      </c>
      <c r="BO19" s="2" t="s">
        <v>214</v>
      </c>
      <c r="BP19" s="2" t="s">
        <v>183</v>
      </c>
      <c r="BQ19" s="2" t="s">
        <v>184</v>
      </c>
      <c r="BR19" s="2" t="s">
        <v>185</v>
      </c>
      <c r="BS19" s="2" t="s">
        <v>186</v>
      </c>
      <c r="BT19" s="2" t="s">
        <v>187</v>
      </c>
      <c r="BU19" s="2" t="s">
        <v>217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f>Table1[[#This Row],[JeffCombineFees]]+Table1[[#This Row],[ZackCombineFees]]</f>
        <v>0</v>
      </c>
      <c r="CI19" s="2">
        <f>SUM(Table1[[#This Row],[LeaseGasolineTotal]:[CombineFeesTotal]])</f>
        <v>0</v>
      </c>
    </row>
    <row r="20" spans="1:87" x14ac:dyDescent="0.35">
      <c r="A20" s="2">
        <v>26</v>
      </c>
      <c r="B20" s="2" t="s">
        <v>71</v>
      </c>
      <c r="C20" s="2" t="s">
        <v>217</v>
      </c>
      <c r="E20" s="2" t="s">
        <v>161</v>
      </c>
      <c r="F20" s="2" t="s">
        <v>159</v>
      </c>
      <c r="G20" s="2" t="s">
        <v>116</v>
      </c>
      <c r="H20" s="2" t="s">
        <v>61</v>
      </c>
      <c r="I20" s="2" t="s">
        <v>60</v>
      </c>
      <c r="K20" s="2"/>
      <c r="AI20" s="5"/>
      <c r="AL20" s="5"/>
      <c r="AQ20" s="2">
        <v>2.65</v>
      </c>
      <c r="AR20" s="2">
        <v>2.93</v>
      </c>
      <c r="AS20" s="2">
        <v>1.25</v>
      </c>
      <c r="AT20" s="2">
        <v>7</v>
      </c>
      <c r="AU20" s="4">
        <v>3</v>
      </c>
      <c r="AV20" s="1">
        <v>40</v>
      </c>
      <c r="AW20" s="1">
        <v>65</v>
      </c>
      <c r="AX20" s="1">
        <v>80</v>
      </c>
      <c r="AY20" s="2">
        <v>1</v>
      </c>
      <c r="AZ20" s="2">
        <v>5</v>
      </c>
      <c r="BA20" s="2">
        <v>5</v>
      </c>
      <c r="BB20" s="2">
        <v>100</v>
      </c>
      <c r="BC20" s="2">
        <v>200</v>
      </c>
      <c r="BD20" s="2">
        <v>0.2</v>
      </c>
      <c r="BE20" s="2" t="str">
        <f>_xlfn.CONCAT(Table1[[#This Row],[GasRate]]," + ",Table1[[#This Row],[LaborFeeLeaseRate]])</f>
        <v>$ 2.65/Gal. + $ 0.2/Gal.</v>
      </c>
      <c r="BF20" s="2" t="str">
        <f>_xlfn.CONCAT(Table1[[#This Row],[DieselRate]]," + ",Table1[[#This Row],[LaborFeeLeaseRate]])</f>
        <v>$ 2.93/Gal. + $ 0.2/Gal.</v>
      </c>
      <c r="BG20" s="2" t="str">
        <f>_xlfn.CONCAT("$ ",Table1[[#This Row],[LaborFeeLease]],"/Gal.")</f>
        <v>$ 0.2/Gal.</v>
      </c>
      <c r="BH20" s="2" t="s">
        <v>178</v>
      </c>
      <c r="BI20" s="2" t="s">
        <v>179</v>
      </c>
      <c r="BJ20" s="2" t="s">
        <v>180</v>
      </c>
      <c r="BK20" s="2" t="s">
        <v>181</v>
      </c>
      <c r="BL20" s="2" t="s">
        <v>182</v>
      </c>
      <c r="BM20" s="2" t="s">
        <v>212</v>
      </c>
      <c r="BN20" s="2" t="s">
        <v>213</v>
      </c>
      <c r="BO20" s="2" t="s">
        <v>214</v>
      </c>
      <c r="BP20" s="2" t="s">
        <v>183</v>
      </c>
      <c r="BQ20" s="2" t="s">
        <v>184</v>
      </c>
      <c r="BR20" s="2" t="s">
        <v>185</v>
      </c>
      <c r="BS20" s="2" t="s">
        <v>186</v>
      </c>
      <c r="BT20" s="2" t="s">
        <v>187</v>
      </c>
      <c r="BU20" s="2" t="s">
        <v>217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f>Table1[[#This Row],[JeffCombineFees]]+Table1[[#This Row],[ZackCombineFees]]</f>
        <v>0</v>
      </c>
      <c r="CI20" s="2">
        <f>SUM(Table1[[#This Row],[LeaseGasolineTotal]:[CombineFeesTotal]])</f>
        <v>0</v>
      </c>
    </row>
    <row r="21" spans="1:87" x14ac:dyDescent="0.35">
      <c r="A21" s="2">
        <v>26</v>
      </c>
      <c r="B21" s="2" t="s">
        <v>74</v>
      </c>
      <c r="C21" s="2" t="s">
        <v>217</v>
      </c>
      <c r="E21" s="2" t="s">
        <v>161</v>
      </c>
      <c r="F21" s="2" t="s">
        <v>159</v>
      </c>
      <c r="G21" s="2" t="s">
        <v>130</v>
      </c>
      <c r="H21" s="2" t="s">
        <v>64</v>
      </c>
      <c r="I21" s="2" t="s">
        <v>63</v>
      </c>
      <c r="K21" s="2"/>
      <c r="AQ21" s="2">
        <v>2.65</v>
      </c>
      <c r="AR21" s="2">
        <v>2.93</v>
      </c>
      <c r="AS21" s="2">
        <v>1.25</v>
      </c>
      <c r="AT21" s="2">
        <v>7</v>
      </c>
      <c r="AU21" s="4">
        <v>3</v>
      </c>
      <c r="AV21" s="1">
        <v>40</v>
      </c>
      <c r="AW21" s="1">
        <v>65</v>
      </c>
      <c r="AX21" s="1">
        <v>80</v>
      </c>
      <c r="AY21" s="2">
        <v>1</v>
      </c>
      <c r="AZ21" s="2">
        <v>5</v>
      </c>
      <c r="BA21" s="2">
        <v>5</v>
      </c>
      <c r="BB21" s="2">
        <v>100</v>
      </c>
      <c r="BC21" s="2">
        <v>200</v>
      </c>
      <c r="BD21" s="2">
        <v>0.2</v>
      </c>
      <c r="BE21" s="2" t="str">
        <f>_xlfn.CONCAT(Table1[[#This Row],[GasRate]]," + ",Table1[[#This Row],[LaborFeeLeaseRate]])</f>
        <v>$ 2.65/Gal. + $ 0.2/Gal.</v>
      </c>
      <c r="BF21" s="2" t="str">
        <f>_xlfn.CONCAT(Table1[[#This Row],[DieselRate]]," + ",Table1[[#This Row],[LaborFeeLeaseRate]])</f>
        <v>$ 2.93/Gal. + $ 0.2/Gal.</v>
      </c>
      <c r="BG21" s="2" t="str">
        <f>_xlfn.CONCAT("$ ",Table1[[#This Row],[LaborFeeLease]],"/Gal.")</f>
        <v>$ 0.2/Gal.</v>
      </c>
      <c r="BH21" s="2" t="s">
        <v>178</v>
      </c>
      <c r="BI21" s="2" t="s">
        <v>179</v>
      </c>
      <c r="BJ21" s="2" t="s">
        <v>180</v>
      </c>
      <c r="BK21" s="2" t="s">
        <v>181</v>
      </c>
      <c r="BL21" s="2" t="s">
        <v>182</v>
      </c>
      <c r="BM21" s="2" t="s">
        <v>212</v>
      </c>
      <c r="BN21" s="2" t="s">
        <v>213</v>
      </c>
      <c r="BO21" s="2" t="s">
        <v>214</v>
      </c>
      <c r="BP21" s="2" t="s">
        <v>183</v>
      </c>
      <c r="BQ21" s="2" t="s">
        <v>184</v>
      </c>
      <c r="BR21" s="2" t="s">
        <v>185</v>
      </c>
      <c r="BS21" s="2" t="s">
        <v>186</v>
      </c>
      <c r="BT21" s="2" t="s">
        <v>187</v>
      </c>
      <c r="BU21" s="2" t="s">
        <v>217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f>Table1[[#This Row],[JeffCombineFees]]+Table1[[#This Row],[ZackCombineFees]]</f>
        <v>0</v>
      </c>
      <c r="CI21" s="2">
        <f>SUM(Table1[[#This Row],[LeaseGasolineTotal]:[CombineFeesTotal]])</f>
        <v>0</v>
      </c>
    </row>
    <row r="22" spans="1:87" x14ac:dyDescent="0.35">
      <c r="A22" s="2">
        <v>26</v>
      </c>
      <c r="B22" s="2" t="s">
        <v>77</v>
      </c>
      <c r="C22" s="2" t="s">
        <v>217</v>
      </c>
      <c r="E22" s="2" t="s">
        <v>161</v>
      </c>
      <c r="F22" s="2" t="s">
        <v>159</v>
      </c>
      <c r="G22" s="2" t="s">
        <v>118</v>
      </c>
      <c r="H22" s="2" t="s">
        <v>102</v>
      </c>
      <c r="I22" s="2" t="s">
        <v>124</v>
      </c>
      <c r="J22" s="6"/>
      <c r="K22" s="6"/>
      <c r="AQ22" s="2">
        <v>2.65</v>
      </c>
      <c r="AR22" s="2">
        <v>2.93</v>
      </c>
      <c r="AS22" s="2">
        <v>1.25</v>
      </c>
      <c r="AT22" s="2">
        <v>7</v>
      </c>
      <c r="AU22" s="4">
        <v>3</v>
      </c>
      <c r="AV22" s="1">
        <v>40</v>
      </c>
      <c r="AW22" s="1">
        <v>65</v>
      </c>
      <c r="AX22" s="1">
        <v>80</v>
      </c>
      <c r="AY22" s="2">
        <v>1</v>
      </c>
      <c r="AZ22" s="2">
        <v>5</v>
      </c>
      <c r="BA22" s="2">
        <v>5</v>
      </c>
      <c r="BB22" s="2">
        <v>100</v>
      </c>
      <c r="BC22" s="2">
        <v>200</v>
      </c>
      <c r="BD22" s="2">
        <v>0.2</v>
      </c>
      <c r="BE22" s="2" t="str">
        <f>_xlfn.CONCAT(Table1[[#This Row],[GasRate]]," + ",Table1[[#This Row],[LaborFeeLeaseRate]])</f>
        <v>$ 2.65/Gal. + $ 0.2/Gal.</v>
      </c>
      <c r="BF22" s="2" t="str">
        <f>_xlfn.CONCAT(Table1[[#This Row],[DieselRate]]," + ",Table1[[#This Row],[LaborFeeLeaseRate]])</f>
        <v>$ 2.93/Gal. + $ 0.2/Gal.</v>
      </c>
      <c r="BG22" s="2" t="str">
        <f>_xlfn.CONCAT("$ ",Table1[[#This Row],[LaborFeeLease]],"/Gal.")</f>
        <v>$ 0.2/Gal.</v>
      </c>
      <c r="BH22" s="2" t="s">
        <v>178</v>
      </c>
      <c r="BI22" s="2" t="s">
        <v>179</v>
      </c>
      <c r="BJ22" s="2" t="s">
        <v>180</v>
      </c>
      <c r="BK22" s="2" t="s">
        <v>181</v>
      </c>
      <c r="BL22" s="2" t="s">
        <v>182</v>
      </c>
      <c r="BM22" s="2" t="s">
        <v>212</v>
      </c>
      <c r="BN22" s="2" t="s">
        <v>213</v>
      </c>
      <c r="BO22" s="2" t="s">
        <v>214</v>
      </c>
      <c r="BP22" s="2" t="s">
        <v>183</v>
      </c>
      <c r="BQ22" s="2" t="s">
        <v>184</v>
      </c>
      <c r="BR22" s="2" t="s">
        <v>185</v>
      </c>
      <c r="BS22" s="2" t="s">
        <v>186</v>
      </c>
      <c r="BT22" s="2" t="s">
        <v>187</v>
      </c>
      <c r="BU22" s="2" t="s">
        <v>217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f>Table1[[#This Row],[JeffCombineFees]]+Table1[[#This Row],[ZackCombineFees]]</f>
        <v>0</v>
      </c>
      <c r="CI22" s="2">
        <f>SUM(Table1[[#This Row],[LeaseGasolineTotal]:[CombineFeesTotal]])</f>
        <v>0</v>
      </c>
    </row>
    <row r="23" spans="1:87" x14ac:dyDescent="0.35">
      <c r="A23" s="2">
        <v>26</v>
      </c>
      <c r="B23" s="2" t="s">
        <v>200</v>
      </c>
      <c r="C23" s="2" t="s">
        <v>217</v>
      </c>
      <c r="E23" s="2" t="s">
        <v>161</v>
      </c>
      <c r="F23" s="2" t="s">
        <v>159</v>
      </c>
      <c r="G23" s="2" t="s">
        <v>116</v>
      </c>
      <c r="H23" s="2" t="s">
        <v>67</v>
      </c>
      <c r="I23" s="2" t="s">
        <v>66</v>
      </c>
      <c r="K23" s="2"/>
      <c r="AQ23" s="2">
        <v>2.65</v>
      </c>
      <c r="AR23" s="2">
        <v>2.93</v>
      </c>
      <c r="AS23" s="2">
        <v>1.25</v>
      </c>
      <c r="AT23" s="2">
        <v>7</v>
      </c>
      <c r="AU23" s="4">
        <v>3</v>
      </c>
      <c r="AV23" s="1">
        <v>40</v>
      </c>
      <c r="AW23" s="1">
        <v>65</v>
      </c>
      <c r="AX23" s="1">
        <v>80</v>
      </c>
      <c r="AY23" s="2">
        <v>1</v>
      </c>
      <c r="AZ23" s="2">
        <v>5</v>
      </c>
      <c r="BA23" s="2">
        <v>5</v>
      </c>
      <c r="BB23" s="2">
        <v>100</v>
      </c>
      <c r="BC23" s="2">
        <v>200</v>
      </c>
      <c r="BD23" s="2">
        <v>0.2</v>
      </c>
      <c r="BE23" s="2" t="str">
        <f>_xlfn.CONCAT(Table1[[#This Row],[GasRate]]," + ",Table1[[#This Row],[LaborFeeLeaseRate]])</f>
        <v>$ 2.65/Gal. + $ 0.2/Gal.</v>
      </c>
      <c r="BF23" s="2" t="str">
        <f>_xlfn.CONCAT(Table1[[#This Row],[DieselRate]]," + ",Table1[[#This Row],[LaborFeeLeaseRate]])</f>
        <v>$ 2.93/Gal. + $ 0.2/Gal.</v>
      </c>
      <c r="BG23" s="2" t="str">
        <f>_xlfn.CONCAT("$ ",Table1[[#This Row],[LaborFeeLease]],"/Gal.")</f>
        <v>$ 0.2/Gal.</v>
      </c>
      <c r="BH23" s="2" t="s">
        <v>178</v>
      </c>
      <c r="BI23" s="2" t="s">
        <v>179</v>
      </c>
      <c r="BJ23" s="2" t="s">
        <v>180</v>
      </c>
      <c r="BK23" s="2" t="s">
        <v>181</v>
      </c>
      <c r="BL23" s="2" t="s">
        <v>182</v>
      </c>
      <c r="BM23" s="2" t="s">
        <v>212</v>
      </c>
      <c r="BN23" s="2" t="s">
        <v>213</v>
      </c>
      <c r="BO23" s="2" t="s">
        <v>214</v>
      </c>
      <c r="BP23" s="2" t="s">
        <v>183</v>
      </c>
      <c r="BQ23" s="2" t="s">
        <v>184</v>
      </c>
      <c r="BR23" s="2" t="s">
        <v>185</v>
      </c>
      <c r="BS23" s="2" t="s">
        <v>186</v>
      </c>
      <c r="BT23" s="2" t="s">
        <v>187</v>
      </c>
      <c r="BU23" s="2" t="s">
        <v>217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f>Table1[[#This Row],[JeffCombineFees]]+Table1[[#This Row],[ZackCombineFees]]</f>
        <v>0</v>
      </c>
      <c r="CI23" s="2">
        <f>SUM(Table1[[#This Row],[LeaseGasolineTotal]:[CombineFeesTotal]])</f>
        <v>0</v>
      </c>
    </row>
    <row r="24" spans="1:87" x14ac:dyDescent="0.35">
      <c r="A24" s="2">
        <v>26</v>
      </c>
      <c r="B24" s="2" t="s">
        <v>80</v>
      </c>
      <c r="C24" s="2" t="s">
        <v>217</v>
      </c>
      <c r="E24" s="2" t="s">
        <v>161</v>
      </c>
      <c r="F24" s="2" t="s">
        <v>159</v>
      </c>
      <c r="G24" s="2" t="s">
        <v>118</v>
      </c>
      <c r="H24" s="2" t="s">
        <v>73</v>
      </c>
      <c r="I24" s="2" t="s">
        <v>72</v>
      </c>
      <c r="K24" s="2"/>
      <c r="AQ24" s="2">
        <v>2.65</v>
      </c>
      <c r="AR24" s="2">
        <v>2.93</v>
      </c>
      <c r="AS24" s="2">
        <v>1.25</v>
      </c>
      <c r="AT24" s="2">
        <v>7</v>
      </c>
      <c r="AU24" s="4">
        <v>3</v>
      </c>
      <c r="AV24" s="1">
        <v>40</v>
      </c>
      <c r="AW24" s="1">
        <v>65</v>
      </c>
      <c r="AX24" s="1">
        <v>80</v>
      </c>
      <c r="AY24" s="2">
        <v>1</v>
      </c>
      <c r="AZ24" s="2">
        <v>5</v>
      </c>
      <c r="BA24" s="2">
        <v>5</v>
      </c>
      <c r="BB24" s="2">
        <v>100</v>
      </c>
      <c r="BC24" s="2">
        <v>200</v>
      </c>
      <c r="BD24" s="2">
        <v>0.2</v>
      </c>
      <c r="BE24" s="2" t="str">
        <f>_xlfn.CONCAT(Table1[[#This Row],[GasRate]]," + ",Table1[[#This Row],[LaborFeeLeaseRate]])</f>
        <v>$ 2.65/Gal. + $ 0.2/Gal.</v>
      </c>
      <c r="BF24" s="2" t="str">
        <f>_xlfn.CONCAT(Table1[[#This Row],[DieselRate]]," + ",Table1[[#This Row],[LaborFeeLeaseRate]])</f>
        <v>$ 2.93/Gal. + $ 0.2/Gal.</v>
      </c>
      <c r="BG24" s="2" t="str">
        <f>_xlfn.CONCAT("$ ",Table1[[#This Row],[LaborFeeLease]],"/Gal.")</f>
        <v>$ 0.2/Gal.</v>
      </c>
      <c r="BH24" s="2" t="s">
        <v>178</v>
      </c>
      <c r="BI24" s="2" t="s">
        <v>179</v>
      </c>
      <c r="BJ24" s="2" t="s">
        <v>180</v>
      </c>
      <c r="BK24" s="2" t="s">
        <v>181</v>
      </c>
      <c r="BL24" s="2" t="s">
        <v>182</v>
      </c>
      <c r="BM24" s="2" t="s">
        <v>212</v>
      </c>
      <c r="BN24" s="2" t="s">
        <v>213</v>
      </c>
      <c r="BO24" s="2" t="s">
        <v>214</v>
      </c>
      <c r="BP24" s="2" t="s">
        <v>183</v>
      </c>
      <c r="BQ24" s="2" t="s">
        <v>184</v>
      </c>
      <c r="BR24" s="2" t="s">
        <v>185</v>
      </c>
      <c r="BS24" s="2" t="s">
        <v>186</v>
      </c>
      <c r="BT24" s="2" t="s">
        <v>187</v>
      </c>
      <c r="BU24" s="2" t="s">
        <v>217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f>Table1[[#This Row],[JeffCombineFees]]+Table1[[#This Row],[ZackCombineFees]]</f>
        <v>0</v>
      </c>
      <c r="CI24" s="2">
        <f>SUM(Table1[[#This Row],[LeaseGasolineTotal]:[CombineFeesTotal]])</f>
        <v>0</v>
      </c>
    </row>
    <row r="25" spans="1:87" x14ac:dyDescent="0.35">
      <c r="A25" s="2">
        <v>26</v>
      </c>
      <c r="B25" s="2" t="s">
        <v>201</v>
      </c>
      <c r="C25" s="2" t="s">
        <v>217</v>
      </c>
      <c r="E25" s="2" t="s">
        <v>161</v>
      </c>
      <c r="F25" s="2" t="s">
        <v>159</v>
      </c>
      <c r="G25" s="2" t="s">
        <v>129</v>
      </c>
      <c r="H25" s="2" t="s">
        <v>70</v>
      </c>
      <c r="I25" s="2" t="s">
        <v>69</v>
      </c>
      <c r="K25" s="2"/>
      <c r="AQ25" s="2">
        <v>2.65</v>
      </c>
      <c r="AR25" s="2">
        <v>2.93</v>
      </c>
      <c r="AS25" s="2">
        <v>1.25</v>
      </c>
      <c r="AT25" s="2">
        <v>7</v>
      </c>
      <c r="AU25" s="4">
        <v>3</v>
      </c>
      <c r="AV25" s="1">
        <v>40</v>
      </c>
      <c r="AW25" s="1">
        <v>65</v>
      </c>
      <c r="AX25" s="1">
        <v>80</v>
      </c>
      <c r="AY25" s="2">
        <v>1</v>
      </c>
      <c r="AZ25" s="2">
        <v>5</v>
      </c>
      <c r="BA25" s="2">
        <v>5</v>
      </c>
      <c r="BB25" s="2">
        <v>100</v>
      </c>
      <c r="BC25" s="2">
        <v>200</v>
      </c>
      <c r="BD25" s="2">
        <v>0.2</v>
      </c>
      <c r="BE25" s="2" t="str">
        <f>_xlfn.CONCAT(Table1[[#This Row],[GasRate]]," + ",Table1[[#This Row],[LaborFeeLeaseRate]])</f>
        <v>$ 2.65/Gal. + $ 0.2/Gal.</v>
      </c>
      <c r="BF25" s="2" t="str">
        <f>_xlfn.CONCAT(Table1[[#This Row],[DieselRate]]," + ",Table1[[#This Row],[LaborFeeLeaseRate]])</f>
        <v>$ 2.93/Gal. + $ 0.2/Gal.</v>
      </c>
      <c r="BG25" s="2" t="str">
        <f>_xlfn.CONCAT("$ ",Table1[[#This Row],[LaborFeeLease]],"/Gal.")</f>
        <v>$ 0.2/Gal.</v>
      </c>
      <c r="BH25" s="2" t="s">
        <v>178</v>
      </c>
      <c r="BI25" s="2" t="s">
        <v>179</v>
      </c>
      <c r="BJ25" s="2" t="s">
        <v>180</v>
      </c>
      <c r="BK25" s="2" t="s">
        <v>181</v>
      </c>
      <c r="BL25" s="2" t="s">
        <v>182</v>
      </c>
      <c r="BM25" s="2" t="s">
        <v>212</v>
      </c>
      <c r="BN25" s="2" t="s">
        <v>213</v>
      </c>
      <c r="BO25" s="2" t="s">
        <v>214</v>
      </c>
      <c r="BP25" s="2" t="s">
        <v>183</v>
      </c>
      <c r="BQ25" s="2" t="s">
        <v>184</v>
      </c>
      <c r="BR25" s="2" t="s">
        <v>185</v>
      </c>
      <c r="BS25" s="2" t="s">
        <v>186</v>
      </c>
      <c r="BT25" s="2" t="s">
        <v>187</v>
      </c>
      <c r="BU25" s="2" t="s">
        <v>217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f>Table1[[#This Row],[JeffCombineFees]]+Table1[[#This Row],[ZackCombineFees]]</f>
        <v>0</v>
      </c>
      <c r="CI25" s="2">
        <f>SUM(Table1[[#This Row],[LeaseGasolineTotal]:[CombineFeesTotal]])</f>
        <v>0</v>
      </c>
    </row>
    <row r="26" spans="1:87" x14ac:dyDescent="0.35">
      <c r="A26" s="2">
        <v>26</v>
      </c>
      <c r="B26" s="2" t="s">
        <v>85</v>
      </c>
      <c r="C26" s="2" t="s">
        <v>217</v>
      </c>
      <c r="E26" s="2" t="s">
        <v>161</v>
      </c>
      <c r="F26" s="2" t="s">
        <v>159</v>
      </c>
      <c r="G26" s="2" t="s">
        <v>116</v>
      </c>
      <c r="H26" s="2" t="s">
        <v>98</v>
      </c>
      <c r="I26" s="2" t="s">
        <v>115</v>
      </c>
      <c r="J26" s="6"/>
      <c r="K26" s="6"/>
      <c r="AQ26" s="2">
        <v>2.65</v>
      </c>
      <c r="AR26" s="2">
        <v>2.93</v>
      </c>
      <c r="AS26" s="2">
        <v>1.25</v>
      </c>
      <c r="AT26" s="2">
        <v>7</v>
      </c>
      <c r="AU26" s="4">
        <v>3</v>
      </c>
      <c r="AV26" s="1">
        <v>40</v>
      </c>
      <c r="AW26" s="1">
        <v>65</v>
      </c>
      <c r="AX26" s="1">
        <v>80</v>
      </c>
      <c r="AY26" s="2">
        <v>1</v>
      </c>
      <c r="AZ26" s="2">
        <v>5</v>
      </c>
      <c r="BA26" s="2">
        <v>5</v>
      </c>
      <c r="BB26" s="2">
        <v>100</v>
      </c>
      <c r="BC26" s="2">
        <v>200</v>
      </c>
      <c r="BD26" s="2">
        <v>0.2</v>
      </c>
      <c r="BE26" s="2" t="str">
        <f>_xlfn.CONCAT(Table1[[#This Row],[GasRate]]," + ",Table1[[#This Row],[LaborFeeLeaseRate]])</f>
        <v>$ 2.65/Gal. + $ 0.2/Gal.</v>
      </c>
      <c r="BF26" s="2" t="str">
        <f>_xlfn.CONCAT(Table1[[#This Row],[DieselRate]]," + ",Table1[[#This Row],[LaborFeeLeaseRate]])</f>
        <v>$ 2.93/Gal. + $ 0.2/Gal.</v>
      </c>
      <c r="BG26" s="2" t="str">
        <f>_xlfn.CONCAT("$ ",Table1[[#This Row],[LaborFeeLease]],"/Gal.")</f>
        <v>$ 0.2/Gal.</v>
      </c>
      <c r="BH26" s="2" t="s">
        <v>178</v>
      </c>
      <c r="BI26" s="2" t="s">
        <v>179</v>
      </c>
      <c r="BJ26" s="2" t="s">
        <v>180</v>
      </c>
      <c r="BK26" s="2" t="s">
        <v>181</v>
      </c>
      <c r="BL26" s="2" t="s">
        <v>182</v>
      </c>
      <c r="BM26" s="2" t="s">
        <v>212</v>
      </c>
      <c r="BN26" s="2" t="s">
        <v>213</v>
      </c>
      <c r="BO26" s="2" t="s">
        <v>214</v>
      </c>
      <c r="BP26" s="2" t="s">
        <v>183</v>
      </c>
      <c r="BQ26" s="2" t="s">
        <v>184</v>
      </c>
      <c r="BR26" s="2" t="s">
        <v>185</v>
      </c>
      <c r="BS26" s="2" t="s">
        <v>186</v>
      </c>
      <c r="BT26" s="2" t="s">
        <v>187</v>
      </c>
      <c r="BU26" s="2" t="s">
        <v>217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f>Table1[[#This Row],[JeffCombineFees]]+Table1[[#This Row],[ZackCombineFees]]</f>
        <v>0</v>
      </c>
      <c r="CI26" s="2">
        <f>SUM(Table1[[#This Row],[LeaseGasolineTotal]:[CombineFeesTotal]])</f>
        <v>0</v>
      </c>
    </row>
    <row r="27" spans="1:87" x14ac:dyDescent="0.35">
      <c r="A27" s="2">
        <v>26</v>
      </c>
      <c r="B27" s="2" t="s">
        <v>88</v>
      </c>
      <c r="C27" s="2" t="s">
        <v>217</v>
      </c>
      <c r="E27" s="2" t="s">
        <v>161</v>
      </c>
      <c r="F27" s="2" t="s">
        <v>159</v>
      </c>
      <c r="G27" s="2" t="s">
        <v>118</v>
      </c>
      <c r="H27" s="2" t="s">
        <v>119</v>
      </c>
      <c r="I27" s="2" t="s">
        <v>120</v>
      </c>
      <c r="J27" s="6"/>
      <c r="K27" s="6"/>
      <c r="AQ27" s="2">
        <v>2.65</v>
      </c>
      <c r="AR27" s="2">
        <v>2.93</v>
      </c>
      <c r="AS27" s="2">
        <v>1.25</v>
      </c>
      <c r="AT27" s="2">
        <v>7</v>
      </c>
      <c r="AU27" s="4">
        <v>3</v>
      </c>
      <c r="AV27" s="1">
        <v>40</v>
      </c>
      <c r="AW27" s="1">
        <v>65</v>
      </c>
      <c r="AX27" s="1">
        <v>80</v>
      </c>
      <c r="AY27" s="2">
        <v>1</v>
      </c>
      <c r="AZ27" s="2">
        <v>5</v>
      </c>
      <c r="BA27" s="2">
        <v>5</v>
      </c>
      <c r="BB27" s="2">
        <v>100</v>
      </c>
      <c r="BC27" s="2">
        <v>200</v>
      </c>
      <c r="BD27" s="2">
        <v>0.2</v>
      </c>
      <c r="BE27" s="2" t="str">
        <f>_xlfn.CONCAT(Table1[[#This Row],[GasRate]]," + ",Table1[[#This Row],[LaborFeeLeaseRate]])</f>
        <v>$ 2.65/Gal. + $ 0.2/Gal.</v>
      </c>
      <c r="BF27" s="2" t="str">
        <f>_xlfn.CONCAT(Table1[[#This Row],[DieselRate]]," + ",Table1[[#This Row],[LaborFeeLeaseRate]])</f>
        <v>$ 2.93/Gal. + $ 0.2/Gal.</v>
      </c>
      <c r="BG27" s="2" t="str">
        <f>_xlfn.CONCAT("$ ",Table1[[#This Row],[LaborFeeLease]],"/Gal.")</f>
        <v>$ 0.2/Gal.</v>
      </c>
      <c r="BH27" s="2" t="s">
        <v>178</v>
      </c>
      <c r="BI27" s="2" t="s">
        <v>179</v>
      </c>
      <c r="BJ27" s="2" t="s">
        <v>180</v>
      </c>
      <c r="BK27" s="2" t="s">
        <v>181</v>
      </c>
      <c r="BL27" s="2" t="s">
        <v>182</v>
      </c>
      <c r="BM27" s="2" t="s">
        <v>212</v>
      </c>
      <c r="BN27" s="2" t="s">
        <v>213</v>
      </c>
      <c r="BO27" s="2" t="s">
        <v>214</v>
      </c>
      <c r="BP27" s="2" t="s">
        <v>183</v>
      </c>
      <c r="BQ27" s="2" t="s">
        <v>184</v>
      </c>
      <c r="BR27" s="2" t="s">
        <v>185</v>
      </c>
      <c r="BS27" s="2" t="s">
        <v>186</v>
      </c>
      <c r="BT27" s="2" t="s">
        <v>187</v>
      </c>
      <c r="BU27" s="2" t="s">
        <v>217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f>Table1[[#This Row],[JeffCombineFees]]+Table1[[#This Row],[ZackCombineFees]]</f>
        <v>0</v>
      </c>
      <c r="CI27" s="2">
        <f>SUM(Table1[[#This Row],[LeaseGasolineTotal]:[CombineFeesTotal]])</f>
        <v>0</v>
      </c>
    </row>
    <row r="28" spans="1:87" x14ac:dyDescent="0.35">
      <c r="A28" s="2">
        <v>26</v>
      </c>
      <c r="B28" s="2" t="s">
        <v>90</v>
      </c>
      <c r="C28" s="2" t="s">
        <v>217</v>
      </c>
      <c r="E28" s="2" t="s">
        <v>161</v>
      </c>
      <c r="F28" s="2" t="s">
        <v>159</v>
      </c>
      <c r="G28" s="2" t="s">
        <v>116</v>
      </c>
      <c r="H28" s="2" t="s">
        <v>76</v>
      </c>
      <c r="I28" s="2" t="s">
        <v>75</v>
      </c>
      <c r="K28" s="2"/>
      <c r="AQ28" s="2">
        <v>2.65</v>
      </c>
      <c r="AR28" s="2">
        <v>2.93</v>
      </c>
      <c r="AS28" s="2">
        <v>1.25</v>
      </c>
      <c r="AT28" s="2">
        <v>7</v>
      </c>
      <c r="AU28" s="4">
        <v>3</v>
      </c>
      <c r="AV28" s="1">
        <v>40</v>
      </c>
      <c r="AW28" s="1">
        <v>65</v>
      </c>
      <c r="AX28" s="1">
        <v>80</v>
      </c>
      <c r="AY28" s="2">
        <v>1</v>
      </c>
      <c r="AZ28" s="2">
        <v>5</v>
      </c>
      <c r="BA28" s="2">
        <v>5</v>
      </c>
      <c r="BB28" s="2">
        <v>100</v>
      </c>
      <c r="BC28" s="2">
        <v>200</v>
      </c>
      <c r="BD28" s="2">
        <v>0.2</v>
      </c>
      <c r="BE28" s="2" t="str">
        <f>_xlfn.CONCAT(Table1[[#This Row],[GasRate]]," + ",Table1[[#This Row],[LaborFeeLeaseRate]])</f>
        <v>$ 2.65/Gal. + $ 0.2/Gal.</v>
      </c>
      <c r="BF28" s="2" t="str">
        <f>_xlfn.CONCAT(Table1[[#This Row],[DieselRate]]," + ",Table1[[#This Row],[LaborFeeLeaseRate]])</f>
        <v>$ 2.93/Gal. + $ 0.2/Gal.</v>
      </c>
      <c r="BG28" s="2" t="str">
        <f>_xlfn.CONCAT("$ ",Table1[[#This Row],[LaborFeeLease]],"/Gal.")</f>
        <v>$ 0.2/Gal.</v>
      </c>
      <c r="BH28" s="2" t="s">
        <v>178</v>
      </c>
      <c r="BI28" s="2" t="s">
        <v>179</v>
      </c>
      <c r="BJ28" s="2" t="s">
        <v>180</v>
      </c>
      <c r="BK28" s="2" t="s">
        <v>181</v>
      </c>
      <c r="BL28" s="2" t="s">
        <v>182</v>
      </c>
      <c r="BM28" s="2" t="s">
        <v>212</v>
      </c>
      <c r="BN28" s="2" t="s">
        <v>213</v>
      </c>
      <c r="BO28" s="2" t="s">
        <v>214</v>
      </c>
      <c r="BP28" s="2" t="s">
        <v>183</v>
      </c>
      <c r="BQ28" s="2" t="s">
        <v>184</v>
      </c>
      <c r="BR28" s="2" t="s">
        <v>185</v>
      </c>
      <c r="BS28" s="2" t="s">
        <v>186</v>
      </c>
      <c r="BT28" s="2" t="s">
        <v>187</v>
      </c>
      <c r="BU28" s="2" t="s">
        <v>217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f>Table1[[#This Row],[JeffCombineFees]]+Table1[[#This Row],[ZackCombineFees]]</f>
        <v>0</v>
      </c>
      <c r="CI28" s="2">
        <f>SUM(Table1[[#This Row],[LeaseGasolineTotal]:[CombineFeesTotal]])</f>
        <v>0</v>
      </c>
    </row>
    <row r="29" spans="1:87" x14ac:dyDescent="0.35">
      <c r="A29" s="2">
        <v>26</v>
      </c>
      <c r="B29" s="2" t="s">
        <v>106</v>
      </c>
      <c r="C29" s="2" t="s">
        <v>217</v>
      </c>
      <c r="E29" s="2" t="s">
        <v>161</v>
      </c>
      <c r="F29" s="2" t="s">
        <v>159</v>
      </c>
      <c r="G29" s="2" t="s">
        <v>116</v>
      </c>
      <c r="H29" s="2" t="s">
        <v>79</v>
      </c>
      <c r="I29" s="2" t="s">
        <v>78</v>
      </c>
      <c r="K29" s="2"/>
      <c r="AQ29" s="2">
        <v>2.65</v>
      </c>
      <c r="AR29" s="2">
        <v>2.93</v>
      </c>
      <c r="AS29" s="2">
        <v>1.25</v>
      </c>
      <c r="AT29" s="2">
        <v>7</v>
      </c>
      <c r="AU29" s="4">
        <v>3</v>
      </c>
      <c r="AV29" s="1">
        <v>40</v>
      </c>
      <c r="AW29" s="1">
        <v>65</v>
      </c>
      <c r="AX29" s="1">
        <v>80</v>
      </c>
      <c r="AY29" s="2">
        <v>1</v>
      </c>
      <c r="AZ29" s="2">
        <v>5</v>
      </c>
      <c r="BA29" s="2">
        <v>5</v>
      </c>
      <c r="BB29" s="2">
        <v>100</v>
      </c>
      <c r="BC29" s="2">
        <v>200</v>
      </c>
      <c r="BD29" s="2">
        <v>0.2</v>
      </c>
      <c r="BE29" s="2" t="str">
        <f>_xlfn.CONCAT(Table1[[#This Row],[GasRate]]," + ",Table1[[#This Row],[LaborFeeLeaseRate]])</f>
        <v>$ 2.65/Gal. + $ 0.2/Gal.</v>
      </c>
      <c r="BF29" s="2" t="str">
        <f>_xlfn.CONCAT(Table1[[#This Row],[DieselRate]]," + ",Table1[[#This Row],[LaborFeeLeaseRate]])</f>
        <v>$ 2.93/Gal. + $ 0.2/Gal.</v>
      </c>
      <c r="BG29" s="2" t="str">
        <f>_xlfn.CONCAT("$ ",Table1[[#This Row],[LaborFeeLease]],"/Gal.")</f>
        <v>$ 0.2/Gal.</v>
      </c>
      <c r="BH29" s="2" t="s">
        <v>178</v>
      </c>
      <c r="BI29" s="2" t="s">
        <v>179</v>
      </c>
      <c r="BJ29" s="2" t="s">
        <v>180</v>
      </c>
      <c r="BK29" s="2" t="s">
        <v>181</v>
      </c>
      <c r="BL29" s="2" t="s">
        <v>182</v>
      </c>
      <c r="BM29" s="2" t="s">
        <v>212</v>
      </c>
      <c r="BN29" s="2" t="s">
        <v>213</v>
      </c>
      <c r="BO29" s="2" t="s">
        <v>214</v>
      </c>
      <c r="BP29" s="2" t="s">
        <v>183</v>
      </c>
      <c r="BQ29" s="2" t="s">
        <v>184</v>
      </c>
      <c r="BR29" s="2" t="s">
        <v>185</v>
      </c>
      <c r="BS29" s="2" t="s">
        <v>186</v>
      </c>
      <c r="BT29" s="2" t="s">
        <v>187</v>
      </c>
      <c r="BU29" s="2" t="s">
        <v>217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f>Table1[[#This Row],[JeffCombineFees]]+Table1[[#This Row],[ZackCombineFees]]</f>
        <v>0</v>
      </c>
      <c r="CI29" s="2">
        <f>SUM(Table1[[#This Row],[LeaseGasolineTotal]:[CombineFeesTotal]])</f>
        <v>0</v>
      </c>
    </row>
    <row r="30" spans="1:87" x14ac:dyDescent="0.35">
      <c r="A30" s="2">
        <v>26</v>
      </c>
      <c r="B30" s="2" t="s">
        <v>107</v>
      </c>
      <c r="C30" s="2" t="s">
        <v>217</v>
      </c>
      <c r="E30" s="2" t="s">
        <v>161</v>
      </c>
      <c r="F30" s="2" t="s">
        <v>159</v>
      </c>
      <c r="G30" s="2" t="s">
        <v>118</v>
      </c>
      <c r="H30" s="2" t="s">
        <v>103</v>
      </c>
      <c r="I30" s="2" t="s">
        <v>125</v>
      </c>
      <c r="J30" s="6"/>
      <c r="K30" s="6"/>
      <c r="AQ30" s="2">
        <v>2.65</v>
      </c>
      <c r="AR30" s="2">
        <v>2.93</v>
      </c>
      <c r="AS30" s="2">
        <v>1.25</v>
      </c>
      <c r="AT30" s="2">
        <v>7</v>
      </c>
      <c r="AU30" s="4">
        <v>3</v>
      </c>
      <c r="AV30" s="1">
        <v>40</v>
      </c>
      <c r="AW30" s="1">
        <v>65</v>
      </c>
      <c r="AX30" s="1">
        <v>80</v>
      </c>
      <c r="AY30" s="2">
        <v>1</v>
      </c>
      <c r="AZ30" s="2">
        <v>5</v>
      </c>
      <c r="BA30" s="2">
        <v>5</v>
      </c>
      <c r="BB30" s="2">
        <v>100</v>
      </c>
      <c r="BC30" s="2">
        <v>200</v>
      </c>
      <c r="BD30" s="2">
        <v>0.2</v>
      </c>
      <c r="BE30" s="2" t="str">
        <f>_xlfn.CONCAT(Table1[[#This Row],[GasRate]]," + ",Table1[[#This Row],[LaborFeeLeaseRate]])</f>
        <v>$ 2.65/Gal. + $ 0.2/Gal.</v>
      </c>
      <c r="BF30" s="2" t="str">
        <f>_xlfn.CONCAT(Table1[[#This Row],[DieselRate]]," + ",Table1[[#This Row],[LaborFeeLeaseRate]])</f>
        <v>$ 2.93/Gal. + $ 0.2/Gal.</v>
      </c>
      <c r="BG30" s="2" t="str">
        <f>_xlfn.CONCAT("$ ",Table1[[#This Row],[LaborFeeLease]],"/Gal.")</f>
        <v>$ 0.2/Gal.</v>
      </c>
      <c r="BH30" s="2" t="s">
        <v>178</v>
      </c>
      <c r="BI30" s="2" t="s">
        <v>179</v>
      </c>
      <c r="BJ30" s="2" t="s">
        <v>180</v>
      </c>
      <c r="BK30" s="2" t="s">
        <v>181</v>
      </c>
      <c r="BL30" s="2" t="s">
        <v>182</v>
      </c>
      <c r="BM30" s="2" t="s">
        <v>212</v>
      </c>
      <c r="BN30" s="2" t="s">
        <v>213</v>
      </c>
      <c r="BO30" s="2" t="s">
        <v>214</v>
      </c>
      <c r="BP30" s="2" t="s">
        <v>183</v>
      </c>
      <c r="BQ30" s="2" t="s">
        <v>184</v>
      </c>
      <c r="BR30" s="2" t="s">
        <v>185</v>
      </c>
      <c r="BS30" s="2" t="s">
        <v>186</v>
      </c>
      <c r="BT30" s="2" t="s">
        <v>187</v>
      </c>
      <c r="BU30" s="2" t="s">
        <v>217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f>Table1[[#This Row],[JeffCombineFees]]+Table1[[#This Row],[ZackCombineFees]]</f>
        <v>0</v>
      </c>
      <c r="CI30" s="2">
        <f>SUM(Table1[[#This Row],[LeaseGasolineTotal]:[CombineFeesTotal]])</f>
        <v>0</v>
      </c>
    </row>
    <row r="31" spans="1:87" x14ac:dyDescent="0.35">
      <c r="A31" s="2">
        <v>26</v>
      </c>
      <c r="B31" s="2" t="s">
        <v>108</v>
      </c>
      <c r="C31" s="2" t="s">
        <v>217</v>
      </c>
      <c r="E31" s="2" t="s">
        <v>161</v>
      </c>
      <c r="F31" s="2" t="s">
        <v>159</v>
      </c>
      <c r="G31" s="2" t="s">
        <v>118</v>
      </c>
      <c r="H31" s="2" t="s">
        <v>82</v>
      </c>
      <c r="I31" s="2" t="s">
        <v>81</v>
      </c>
      <c r="K31" s="2"/>
      <c r="AQ31" s="2">
        <v>2.65</v>
      </c>
      <c r="AR31" s="2">
        <v>2.93</v>
      </c>
      <c r="AS31" s="2">
        <v>1.25</v>
      </c>
      <c r="AT31" s="2">
        <v>7</v>
      </c>
      <c r="AU31" s="4">
        <v>3</v>
      </c>
      <c r="AV31" s="1">
        <v>40</v>
      </c>
      <c r="AW31" s="1">
        <v>65</v>
      </c>
      <c r="AX31" s="1">
        <v>80</v>
      </c>
      <c r="AY31" s="2">
        <v>1</v>
      </c>
      <c r="AZ31" s="2">
        <v>5</v>
      </c>
      <c r="BA31" s="2">
        <v>5</v>
      </c>
      <c r="BB31" s="2">
        <v>100</v>
      </c>
      <c r="BC31" s="2">
        <v>200</v>
      </c>
      <c r="BD31" s="2">
        <v>0.2</v>
      </c>
      <c r="BE31" s="2" t="str">
        <f>_xlfn.CONCAT(Table1[[#This Row],[GasRate]]," + ",Table1[[#This Row],[LaborFeeLeaseRate]])</f>
        <v>$ 2.65/Gal. + $ 0.2/Gal.</v>
      </c>
      <c r="BF31" s="2" t="str">
        <f>_xlfn.CONCAT(Table1[[#This Row],[DieselRate]]," + ",Table1[[#This Row],[LaborFeeLeaseRate]])</f>
        <v>$ 2.93/Gal. + $ 0.2/Gal.</v>
      </c>
      <c r="BG31" s="2" t="str">
        <f>_xlfn.CONCAT("$ ",Table1[[#This Row],[LaborFeeLease]],"/Gal.")</f>
        <v>$ 0.2/Gal.</v>
      </c>
      <c r="BH31" s="2" t="s">
        <v>178</v>
      </c>
      <c r="BI31" s="2" t="s">
        <v>179</v>
      </c>
      <c r="BJ31" s="2" t="s">
        <v>180</v>
      </c>
      <c r="BK31" s="2" t="s">
        <v>181</v>
      </c>
      <c r="BL31" s="2" t="s">
        <v>182</v>
      </c>
      <c r="BM31" s="2" t="s">
        <v>212</v>
      </c>
      <c r="BN31" s="2" t="s">
        <v>213</v>
      </c>
      <c r="BO31" s="2" t="s">
        <v>214</v>
      </c>
      <c r="BP31" s="2" t="s">
        <v>183</v>
      </c>
      <c r="BQ31" s="2" t="s">
        <v>184</v>
      </c>
      <c r="BR31" s="2" t="s">
        <v>185</v>
      </c>
      <c r="BS31" s="2" t="s">
        <v>186</v>
      </c>
      <c r="BT31" s="2" t="s">
        <v>187</v>
      </c>
      <c r="BU31" s="2" t="s">
        <v>217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f>Table1[[#This Row],[JeffCombineFees]]+Table1[[#This Row],[ZackCombineFees]]</f>
        <v>0</v>
      </c>
      <c r="CI31" s="2">
        <f>SUM(Table1[[#This Row],[LeaseGasolineTotal]:[CombineFeesTotal]])</f>
        <v>0</v>
      </c>
    </row>
    <row r="32" spans="1:87" x14ac:dyDescent="0.35">
      <c r="A32" s="2">
        <v>26</v>
      </c>
      <c r="B32" s="2" t="s">
        <v>109</v>
      </c>
      <c r="C32" s="2" t="s">
        <v>217</v>
      </c>
      <c r="E32" s="2" t="s">
        <v>161</v>
      </c>
      <c r="F32" s="2" t="s">
        <v>159</v>
      </c>
      <c r="G32" s="2" t="s">
        <v>122</v>
      </c>
      <c r="H32" s="2" t="s">
        <v>100</v>
      </c>
      <c r="I32" s="2" t="s">
        <v>121</v>
      </c>
      <c r="J32" s="6"/>
      <c r="K32" s="6"/>
      <c r="AQ32" s="2">
        <v>2.65</v>
      </c>
      <c r="AR32" s="2">
        <v>2.93</v>
      </c>
      <c r="AS32" s="2">
        <v>1.25</v>
      </c>
      <c r="AT32" s="2">
        <v>7</v>
      </c>
      <c r="AU32" s="4">
        <v>3</v>
      </c>
      <c r="AV32" s="1">
        <v>40</v>
      </c>
      <c r="AW32" s="1">
        <v>65</v>
      </c>
      <c r="AX32" s="1">
        <v>80</v>
      </c>
      <c r="AY32" s="2">
        <v>1</v>
      </c>
      <c r="AZ32" s="2">
        <v>5</v>
      </c>
      <c r="BA32" s="2">
        <v>5</v>
      </c>
      <c r="BB32" s="2">
        <v>100</v>
      </c>
      <c r="BC32" s="2">
        <v>200</v>
      </c>
      <c r="BD32" s="2">
        <v>0.2</v>
      </c>
      <c r="BE32" s="2" t="str">
        <f>_xlfn.CONCAT(Table1[[#This Row],[GasRate]]," + ",Table1[[#This Row],[LaborFeeLeaseRate]])</f>
        <v>$ 2.65/Gal. + $ 0.2/Gal.</v>
      </c>
      <c r="BF32" s="2" t="str">
        <f>_xlfn.CONCAT(Table1[[#This Row],[DieselRate]]," + ",Table1[[#This Row],[LaborFeeLeaseRate]])</f>
        <v>$ 2.93/Gal. + $ 0.2/Gal.</v>
      </c>
      <c r="BG32" s="2" t="str">
        <f>_xlfn.CONCAT("$ ",Table1[[#This Row],[LaborFeeLease]],"/Gal.")</f>
        <v>$ 0.2/Gal.</v>
      </c>
      <c r="BH32" s="2" t="s">
        <v>178</v>
      </c>
      <c r="BI32" s="2" t="s">
        <v>179</v>
      </c>
      <c r="BJ32" s="2" t="s">
        <v>180</v>
      </c>
      <c r="BK32" s="2" t="s">
        <v>181</v>
      </c>
      <c r="BL32" s="2" t="s">
        <v>182</v>
      </c>
      <c r="BM32" s="2" t="s">
        <v>212</v>
      </c>
      <c r="BN32" s="2" t="s">
        <v>213</v>
      </c>
      <c r="BO32" s="2" t="s">
        <v>214</v>
      </c>
      <c r="BP32" s="2" t="s">
        <v>183</v>
      </c>
      <c r="BQ32" s="2" t="s">
        <v>184</v>
      </c>
      <c r="BR32" s="2" t="s">
        <v>185</v>
      </c>
      <c r="BS32" s="2" t="s">
        <v>186</v>
      </c>
      <c r="BT32" s="2" t="s">
        <v>187</v>
      </c>
      <c r="BU32" s="2" t="s">
        <v>217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f>Table1[[#This Row],[JeffCombineFees]]+Table1[[#This Row],[ZackCombineFees]]</f>
        <v>0</v>
      </c>
      <c r="CI32" s="2">
        <f>SUM(Table1[[#This Row],[LeaseGasolineTotal]:[CombineFeesTotal]])</f>
        <v>0</v>
      </c>
    </row>
    <row r="33" spans="1:87" x14ac:dyDescent="0.35">
      <c r="A33" s="2">
        <v>26</v>
      </c>
      <c r="B33" s="2" t="s">
        <v>110</v>
      </c>
      <c r="C33" s="2" t="s">
        <v>217</v>
      </c>
      <c r="E33" s="2" t="s">
        <v>161</v>
      </c>
      <c r="F33" s="2" t="s">
        <v>159</v>
      </c>
      <c r="G33" s="2" t="s">
        <v>118</v>
      </c>
      <c r="H33" s="2" t="s">
        <v>84</v>
      </c>
      <c r="I33" s="2" t="s">
        <v>83</v>
      </c>
      <c r="K33" s="2"/>
      <c r="AQ33" s="2">
        <v>2.65</v>
      </c>
      <c r="AR33" s="2">
        <v>2.93</v>
      </c>
      <c r="AS33" s="2">
        <v>1.25</v>
      </c>
      <c r="AT33" s="2">
        <v>7</v>
      </c>
      <c r="AU33" s="4">
        <v>3</v>
      </c>
      <c r="AV33" s="1">
        <v>40</v>
      </c>
      <c r="AW33" s="1">
        <v>65</v>
      </c>
      <c r="AX33" s="1">
        <v>80</v>
      </c>
      <c r="AY33" s="2">
        <v>1</v>
      </c>
      <c r="AZ33" s="2">
        <v>5</v>
      </c>
      <c r="BA33" s="2">
        <v>5</v>
      </c>
      <c r="BB33" s="2">
        <v>100</v>
      </c>
      <c r="BC33" s="2">
        <v>200</v>
      </c>
      <c r="BD33" s="2">
        <v>0.2</v>
      </c>
      <c r="BE33" s="2" t="str">
        <f>_xlfn.CONCAT(Table1[[#This Row],[GasRate]]," + ",Table1[[#This Row],[LaborFeeLeaseRate]])</f>
        <v>$ 2.65/Gal. + $ 0.2/Gal.</v>
      </c>
      <c r="BF33" s="2" t="str">
        <f>_xlfn.CONCAT(Table1[[#This Row],[DieselRate]]," + ",Table1[[#This Row],[LaborFeeLeaseRate]])</f>
        <v>$ 2.93/Gal. + $ 0.2/Gal.</v>
      </c>
      <c r="BG33" s="2" t="str">
        <f>_xlfn.CONCAT("$ ",Table1[[#This Row],[LaborFeeLease]],"/Gal.")</f>
        <v>$ 0.2/Gal.</v>
      </c>
      <c r="BH33" s="2" t="s">
        <v>178</v>
      </c>
      <c r="BI33" s="2" t="s">
        <v>179</v>
      </c>
      <c r="BJ33" s="2" t="s">
        <v>180</v>
      </c>
      <c r="BK33" s="2" t="s">
        <v>181</v>
      </c>
      <c r="BL33" s="2" t="s">
        <v>182</v>
      </c>
      <c r="BM33" s="2" t="s">
        <v>212</v>
      </c>
      <c r="BN33" s="2" t="s">
        <v>213</v>
      </c>
      <c r="BO33" s="2" t="s">
        <v>214</v>
      </c>
      <c r="BP33" s="2" t="s">
        <v>183</v>
      </c>
      <c r="BQ33" s="2" t="s">
        <v>184</v>
      </c>
      <c r="BR33" s="2" t="s">
        <v>185</v>
      </c>
      <c r="BS33" s="2" t="s">
        <v>186</v>
      </c>
      <c r="BT33" s="2" t="s">
        <v>187</v>
      </c>
      <c r="BU33" s="2" t="s">
        <v>217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f>Table1[[#This Row],[JeffCombineFees]]+Table1[[#This Row],[ZackCombineFees]]</f>
        <v>0</v>
      </c>
      <c r="CI33" s="2">
        <f>SUM(Table1[[#This Row],[LeaseGasolineTotal]:[CombineFeesTotal]])</f>
        <v>0</v>
      </c>
    </row>
    <row r="34" spans="1:87" x14ac:dyDescent="0.35">
      <c r="A34" s="2">
        <v>26</v>
      </c>
      <c r="B34" s="2" t="s">
        <v>111</v>
      </c>
      <c r="C34" s="2" t="s">
        <v>217</v>
      </c>
      <c r="E34" s="2" t="s">
        <v>161</v>
      </c>
      <c r="F34" s="2" t="s">
        <v>159</v>
      </c>
      <c r="G34" s="2" t="s">
        <v>122</v>
      </c>
      <c r="H34" s="2" t="s">
        <v>164</v>
      </c>
      <c r="I34" s="2" t="s">
        <v>163</v>
      </c>
      <c r="J34" s="6"/>
      <c r="K34" s="6"/>
      <c r="L34" s="6"/>
      <c r="AQ34" s="2">
        <v>2.65</v>
      </c>
      <c r="AR34" s="2">
        <v>2.93</v>
      </c>
      <c r="AS34" s="2">
        <v>1.25</v>
      </c>
      <c r="AT34" s="2">
        <v>7</v>
      </c>
      <c r="AU34" s="4">
        <v>3</v>
      </c>
      <c r="AV34" s="1">
        <v>40</v>
      </c>
      <c r="AW34" s="1">
        <v>65</v>
      </c>
      <c r="AX34" s="1">
        <v>80</v>
      </c>
      <c r="AY34" s="2">
        <v>1</v>
      </c>
      <c r="AZ34" s="2">
        <v>5</v>
      </c>
      <c r="BA34" s="2">
        <v>5</v>
      </c>
      <c r="BB34" s="2">
        <v>100</v>
      </c>
      <c r="BC34" s="2">
        <v>200</v>
      </c>
      <c r="BD34" s="2">
        <v>0.2</v>
      </c>
      <c r="BE34" s="2" t="str">
        <f>_xlfn.CONCAT(Table1[[#This Row],[GasRate]]," + ",Table1[[#This Row],[LaborFeeLeaseRate]])</f>
        <v>$ 2.65/Gal. + $ 0.2/Gal.</v>
      </c>
      <c r="BF34" s="2" t="str">
        <f>_xlfn.CONCAT(Table1[[#This Row],[DieselRate]]," + ",Table1[[#This Row],[LaborFeeLeaseRate]])</f>
        <v>$ 2.93/Gal. + $ 0.2/Gal.</v>
      </c>
      <c r="BG34" s="2" t="str">
        <f>_xlfn.CONCAT("$ ",Table1[[#This Row],[LaborFeeLease]],"/Gal.")</f>
        <v>$ 0.2/Gal.</v>
      </c>
      <c r="BH34" s="2" t="s">
        <v>178</v>
      </c>
      <c r="BI34" s="2" t="s">
        <v>179</v>
      </c>
      <c r="BJ34" s="2" t="s">
        <v>180</v>
      </c>
      <c r="BK34" s="2" t="s">
        <v>181</v>
      </c>
      <c r="BL34" s="2" t="s">
        <v>182</v>
      </c>
      <c r="BM34" s="2" t="s">
        <v>212</v>
      </c>
      <c r="BN34" s="2" t="s">
        <v>213</v>
      </c>
      <c r="BO34" s="2" t="s">
        <v>214</v>
      </c>
      <c r="BP34" s="2" t="s">
        <v>183</v>
      </c>
      <c r="BQ34" s="2" t="s">
        <v>184</v>
      </c>
      <c r="BR34" s="2" t="s">
        <v>185</v>
      </c>
      <c r="BS34" s="2" t="s">
        <v>186</v>
      </c>
      <c r="BT34" s="2" t="s">
        <v>187</v>
      </c>
      <c r="BU34" s="2" t="s">
        <v>217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f>Table1[[#This Row],[JeffCombineFees]]+Table1[[#This Row],[ZackCombineFees]]</f>
        <v>0</v>
      </c>
      <c r="CI34" s="2">
        <f>SUM(Table1[[#This Row],[LeaseGasolineTotal]:[CombineFeesTotal]])</f>
        <v>0</v>
      </c>
    </row>
    <row r="35" spans="1:87" x14ac:dyDescent="0.35">
      <c r="A35" s="2">
        <v>26</v>
      </c>
      <c r="B35" s="2" t="s">
        <v>202</v>
      </c>
      <c r="C35" s="2" t="s">
        <v>217</v>
      </c>
      <c r="E35" s="2" t="s">
        <v>161</v>
      </c>
      <c r="F35" s="2" t="s">
        <v>159</v>
      </c>
      <c r="G35" s="2" t="s">
        <v>122</v>
      </c>
      <c r="H35" s="2" t="s">
        <v>87</v>
      </c>
      <c r="I35" s="2" t="s">
        <v>86</v>
      </c>
      <c r="K35" s="2"/>
      <c r="AQ35" s="2">
        <v>2.65</v>
      </c>
      <c r="AR35" s="2">
        <v>2.93</v>
      </c>
      <c r="AS35" s="2">
        <v>1.25</v>
      </c>
      <c r="AT35" s="2">
        <v>7</v>
      </c>
      <c r="AU35" s="4">
        <v>3</v>
      </c>
      <c r="AV35" s="1">
        <v>40</v>
      </c>
      <c r="AW35" s="1">
        <v>65</v>
      </c>
      <c r="AX35" s="1">
        <v>80</v>
      </c>
      <c r="AY35" s="2">
        <v>1</v>
      </c>
      <c r="AZ35" s="2">
        <v>5</v>
      </c>
      <c r="BA35" s="2">
        <v>5</v>
      </c>
      <c r="BB35" s="2">
        <v>100</v>
      </c>
      <c r="BC35" s="2">
        <v>200</v>
      </c>
      <c r="BD35" s="2">
        <v>0.2</v>
      </c>
      <c r="BE35" s="2" t="str">
        <f>_xlfn.CONCAT(Table1[[#This Row],[GasRate]]," + ",Table1[[#This Row],[LaborFeeLeaseRate]])</f>
        <v>$ 2.65/Gal. + $ 0.2/Gal.</v>
      </c>
      <c r="BF35" s="2" t="str">
        <f>_xlfn.CONCAT(Table1[[#This Row],[DieselRate]]," + ",Table1[[#This Row],[LaborFeeLeaseRate]])</f>
        <v>$ 2.93/Gal. + $ 0.2/Gal.</v>
      </c>
      <c r="BG35" s="2" t="str">
        <f>_xlfn.CONCAT("$ ",Table1[[#This Row],[LaborFeeLease]],"/Gal.")</f>
        <v>$ 0.2/Gal.</v>
      </c>
      <c r="BH35" s="2" t="s">
        <v>178</v>
      </c>
      <c r="BI35" s="2" t="s">
        <v>179</v>
      </c>
      <c r="BJ35" s="2" t="s">
        <v>180</v>
      </c>
      <c r="BK35" s="2" t="s">
        <v>181</v>
      </c>
      <c r="BL35" s="2" t="s">
        <v>182</v>
      </c>
      <c r="BM35" s="2" t="s">
        <v>212</v>
      </c>
      <c r="BN35" s="2" t="s">
        <v>213</v>
      </c>
      <c r="BO35" s="2" t="s">
        <v>214</v>
      </c>
      <c r="BP35" s="2" t="s">
        <v>183</v>
      </c>
      <c r="BQ35" s="2" t="s">
        <v>184</v>
      </c>
      <c r="BR35" s="2" t="s">
        <v>185</v>
      </c>
      <c r="BS35" s="2" t="s">
        <v>186</v>
      </c>
      <c r="BT35" s="2" t="s">
        <v>187</v>
      </c>
      <c r="BU35" s="2" t="s">
        <v>217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f>Table1[[#This Row],[JeffCombineFees]]+Table1[[#This Row],[ZackCombineFees]]</f>
        <v>0</v>
      </c>
      <c r="CI35" s="2">
        <f>SUM(Table1[[#This Row],[LeaseGasolineTotal]:[CombineFeesTotal]])</f>
        <v>0</v>
      </c>
    </row>
    <row r="36" spans="1:87" x14ac:dyDescent="0.35">
      <c r="A36" s="2">
        <v>26</v>
      </c>
      <c r="B36" s="2" t="s">
        <v>112</v>
      </c>
      <c r="C36" s="2" t="s">
        <v>217</v>
      </c>
      <c r="E36" s="2" t="s">
        <v>161</v>
      </c>
      <c r="F36" s="2" t="s">
        <v>159</v>
      </c>
      <c r="G36" s="2" t="s">
        <v>118</v>
      </c>
      <c r="H36" s="2" t="s">
        <v>89</v>
      </c>
      <c r="I36" s="2" t="s">
        <v>216</v>
      </c>
      <c r="K36" s="2"/>
      <c r="AQ36" s="2">
        <v>2.65</v>
      </c>
      <c r="AR36" s="2">
        <v>2.93</v>
      </c>
      <c r="AS36" s="2">
        <v>1.25</v>
      </c>
      <c r="AT36" s="2">
        <v>7</v>
      </c>
      <c r="AU36" s="4">
        <v>3</v>
      </c>
      <c r="AV36" s="1">
        <v>40</v>
      </c>
      <c r="AW36" s="1">
        <v>65</v>
      </c>
      <c r="AX36" s="1">
        <v>80</v>
      </c>
      <c r="AY36" s="2">
        <v>1</v>
      </c>
      <c r="AZ36" s="2">
        <v>5</v>
      </c>
      <c r="BA36" s="2">
        <v>5</v>
      </c>
      <c r="BB36" s="2">
        <v>100</v>
      </c>
      <c r="BC36" s="2">
        <v>200</v>
      </c>
      <c r="BD36" s="2">
        <v>0.2</v>
      </c>
      <c r="BE36" s="2" t="str">
        <f>_xlfn.CONCAT(Table1[[#This Row],[GasRate]]," + ",Table1[[#This Row],[LaborFeeLeaseRate]])</f>
        <v>$ 2.65/Gal. + $ 0.2/Gal.</v>
      </c>
      <c r="BF36" s="2" t="str">
        <f>_xlfn.CONCAT(Table1[[#This Row],[DieselRate]]," + ",Table1[[#This Row],[LaborFeeLeaseRate]])</f>
        <v>$ 2.93/Gal. + $ 0.2/Gal.</v>
      </c>
      <c r="BG36" s="2" t="str">
        <f>_xlfn.CONCAT("$ ",Table1[[#This Row],[LaborFeeLease]],"/Gal.")</f>
        <v>$ 0.2/Gal.</v>
      </c>
      <c r="BH36" s="2" t="s">
        <v>178</v>
      </c>
      <c r="BI36" s="2" t="s">
        <v>179</v>
      </c>
      <c r="BJ36" s="2" t="s">
        <v>180</v>
      </c>
      <c r="BK36" s="2" t="s">
        <v>181</v>
      </c>
      <c r="BL36" s="2" t="s">
        <v>182</v>
      </c>
      <c r="BM36" s="2" t="s">
        <v>212</v>
      </c>
      <c r="BN36" s="2" t="s">
        <v>213</v>
      </c>
      <c r="BO36" s="2" t="s">
        <v>214</v>
      </c>
      <c r="BP36" s="2" t="s">
        <v>183</v>
      </c>
      <c r="BQ36" s="2" t="s">
        <v>184</v>
      </c>
      <c r="BR36" s="2" t="s">
        <v>185</v>
      </c>
      <c r="BS36" s="2" t="s">
        <v>186</v>
      </c>
      <c r="BT36" s="2" t="s">
        <v>187</v>
      </c>
      <c r="BU36" s="2" t="s">
        <v>217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f>Table1[[#This Row],[JeffCombineFees]]+Table1[[#This Row],[ZackCombineFees]]</f>
        <v>0</v>
      </c>
      <c r="CI36" s="2">
        <f>SUM(Table1[[#This Row],[LeaseGasolineTotal]:[CombineFeesTotal]])</f>
        <v>0</v>
      </c>
    </row>
    <row r="37" spans="1:87" x14ac:dyDescent="0.35">
      <c r="A37" s="2">
        <v>26</v>
      </c>
      <c r="B37" s="2" t="s">
        <v>215</v>
      </c>
      <c r="C37" s="2" t="s">
        <v>217</v>
      </c>
      <c r="E37" s="2" t="s">
        <v>161</v>
      </c>
      <c r="F37" s="2" t="s">
        <v>159</v>
      </c>
      <c r="G37" s="2" t="s">
        <v>128</v>
      </c>
      <c r="H37" s="2" t="s">
        <v>92</v>
      </c>
      <c r="I37" s="2" t="s">
        <v>91</v>
      </c>
      <c r="K37" s="2"/>
      <c r="AQ37" s="2">
        <v>2.65</v>
      </c>
      <c r="AR37" s="2">
        <v>2.93</v>
      </c>
      <c r="AS37" s="2">
        <v>1.25</v>
      </c>
      <c r="AT37" s="2">
        <v>7</v>
      </c>
      <c r="AU37" s="4">
        <v>3</v>
      </c>
      <c r="AV37" s="1">
        <v>40</v>
      </c>
      <c r="AW37" s="1">
        <v>65</v>
      </c>
      <c r="AX37" s="1">
        <v>80</v>
      </c>
      <c r="AY37" s="2">
        <v>1</v>
      </c>
      <c r="AZ37" s="2">
        <v>5</v>
      </c>
      <c r="BA37" s="2">
        <v>5</v>
      </c>
      <c r="BB37" s="2">
        <v>100</v>
      </c>
      <c r="BC37" s="2">
        <v>200</v>
      </c>
      <c r="BD37" s="2">
        <v>0.2</v>
      </c>
      <c r="BE37" s="2" t="str">
        <f>_xlfn.CONCAT(Table1[[#This Row],[GasRate]]," + ",Table1[[#This Row],[LaborFeeLeaseRate]])</f>
        <v>$ 2.65/Gal. + $ 0.2/Gal.</v>
      </c>
      <c r="BF37" s="2" t="str">
        <f>_xlfn.CONCAT(Table1[[#This Row],[DieselRate]]," + ",Table1[[#This Row],[LaborFeeLeaseRate]])</f>
        <v>$ 2.93/Gal. + $ 0.2/Gal.</v>
      </c>
      <c r="BG37" s="2" t="str">
        <f>_xlfn.CONCAT("$ ",Table1[[#This Row],[LaborFeeLease]],"/Gal.")</f>
        <v>$ 0.2/Gal.</v>
      </c>
      <c r="BH37" s="2" t="s">
        <v>178</v>
      </c>
      <c r="BI37" s="2" t="s">
        <v>179</v>
      </c>
      <c r="BJ37" s="2" t="s">
        <v>180</v>
      </c>
      <c r="BK37" s="2" t="s">
        <v>181</v>
      </c>
      <c r="BL37" s="2" t="s">
        <v>182</v>
      </c>
      <c r="BM37" s="2" t="s">
        <v>212</v>
      </c>
      <c r="BN37" s="2" t="s">
        <v>213</v>
      </c>
      <c r="BO37" s="2" t="s">
        <v>214</v>
      </c>
      <c r="BP37" s="2" t="s">
        <v>183</v>
      </c>
      <c r="BQ37" s="2" t="s">
        <v>184</v>
      </c>
      <c r="BR37" s="2" t="s">
        <v>185</v>
      </c>
      <c r="BS37" s="2" t="s">
        <v>186</v>
      </c>
      <c r="BT37" s="2" t="s">
        <v>187</v>
      </c>
      <c r="BU37" s="2" t="s">
        <v>217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f>Table1[[#This Row],[JeffCombineFees]]+Table1[[#This Row],[ZackCombineFees]]</f>
        <v>0</v>
      </c>
      <c r="CI37" s="2">
        <f>SUM(Table1[[#This Row],[LeaseGasolineTotal]:[CombineFeesTotal]])</f>
        <v>0</v>
      </c>
    </row>
    <row r="38" spans="1:87" x14ac:dyDescent="0.35">
      <c r="A38" s="2">
        <v>26</v>
      </c>
      <c r="B38" s="2" t="s">
        <v>227</v>
      </c>
      <c r="C38" s="2" t="s">
        <v>217</v>
      </c>
      <c r="E38" s="2" t="s">
        <v>161</v>
      </c>
      <c r="F38" s="2" t="s">
        <v>159</v>
      </c>
      <c r="G38" s="2" t="s">
        <v>220</v>
      </c>
      <c r="H38" s="2" t="s">
        <v>218</v>
      </c>
      <c r="I38" s="2" t="s">
        <v>226</v>
      </c>
      <c r="J38" s="6"/>
      <c r="K38" s="6"/>
      <c r="L38" s="6"/>
      <c r="AQ38" s="2">
        <v>2.65</v>
      </c>
      <c r="AR38" s="2">
        <v>2.93</v>
      </c>
      <c r="AS38" s="2">
        <v>1.25</v>
      </c>
      <c r="AT38" s="2">
        <v>7</v>
      </c>
      <c r="AU38" s="4">
        <v>3</v>
      </c>
      <c r="AV38" s="1">
        <v>40</v>
      </c>
      <c r="AW38" s="1">
        <v>65</v>
      </c>
      <c r="AX38" s="1">
        <v>80</v>
      </c>
      <c r="AY38" s="2">
        <v>1</v>
      </c>
      <c r="AZ38" s="2">
        <v>5</v>
      </c>
      <c r="BA38" s="2">
        <v>5</v>
      </c>
      <c r="BB38" s="2">
        <v>100</v>
      </c>
      <c r="BC38" s="2">
        <v>200</v>
      </c>
      <c r="BD38" s="2">
        <v>0.2</v>
      </c>
      <c r="BE38" s="2" t="str">
        <f>_xlfn.CONCAT(Table1[[#This Row],[GasRate]]," + ",Table1[[#This Row],[LaborFeeLeaseRate]])</f>
        <v>$ 2.65/Gal. + $ 0.2/Gal.</v>
      </c>
      <c r="BF38" s="2" t="str">
        <f>_xlfn.CONCAT(Table1[[#This Row],[DieselRate]]," + ",Table1[[#This Row],[LaborFeeLeaseRate]])</f>
        <v>$ 2.93/Gal. + $ 0.2/Gal.</v>
      </c>
      <c r="BG38" s="2" t="str">
        <f>_xlfn.CONCAT("$ ",Table1[[#This Row],[LaborFeeLease]],"/Gal.")</f>
        <v>$ 0.2/Gal.</v>
      </c>
      <c r="BH38" s="2" t="s">
        <v>178</v>
      </c>
      <c r="BI38" s="2" t="s">
        <v>179</v>
      </c>
      <c r="BJ38" s="2" t="s">
        <v>180</v>
      </c>
      <c r="BK38" s="2" t="s">
        <v>181</v>
      </c>
      <c r="BL38" s="2" t="s">
        <v>182</v>
      </c>
      <c r="BM38" s="2" t="s">
        <v>212</v>
      </c>
      <c r="BN38" s="2" t="s">
        <v>213</v>
      </c>
      <c r="BO38" s="2" t="s">
        <v>214</v>
      </c>
      <c r="BP38" s="2" t="s">
        <v>183</v>
      </c>
      <c r="BQ38" s="2" t="s">
        <v>184</v>
      </c>
      <c r="BR38" s="2" t="s">
        <v>185</v>
      </c>
      <c r="BS38" s="2" t="s">
        <v>186</v>
      </c>
      <c r="BT38" s="2" t="s">
        <v>187</v>
      </c>
      <c r="BU38" s="2" t="s">
        <v>217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f>Table1[[#This Row],[JeffCombineFees]]+Table1[[#This Row],[ZackCombineFees]]</f>
        <v>0</v>
      </c>
      <c r="CI38" s="2">
        <f>SUM(Table1[[#This Row],[LeaseGasolineTotal]:[CombineFeesTotal]])</f>
        <v>0</v>
      </c>
    </row>
    <row r="39" spans="1:87" x14ac:dyDescent="0.35">
      <c r="A39" s="2">
        <v>26</v>
      </c>
      <c r="B39" s="2" t="s">
        <v>228</v>
      </c>
      <c r="C39" s="2" t="s">
        <v>217</v>
      </c>
      <c r="E39" s="2" t="s">
        <v>161</v>
      </c>
      <c r="F39" s="2" t="s">
        <v>159</v>
      </c>
      <c r="G39" s="2" t="s">
        <v>122</v>
      </c>
      <c r="H39" s="2" t="s">
        <v>219</v>
      </c>
      <c r="I39" s="2" t="s">
        <v>221</v>
      </c>
      <c r="J39" s="6"/>
      <c r="K39" s="6"/>
      <c r="L39" s="6"/>
      <c r="AQ39" s="2">
        <v>2.65</v>
      </c>
      <c r="AR39" s="2">
        <v>2.93</v>
      </c>
      <c r="AS39" s="2">
        <v>1.25</v>
      </c>
      <c r="AT39" s="2">
        <v>7</v>
      </c>
      <c r="AU39" s="4">
        <v>3</v>
      </c>
      <c r="AV39" s="1">
        <v>40</v>
      </c>
      <c r="AW39" s="1">
        <v>65</v>
      </c>
      <c r="AX39" s="1">
        <v>80</v>
      </c>
      <c r="AY39" s="2">
        <v>1</v>
      </c>
      <c r="AZ39" s="2">
        <v>5</v>
      </c>
      <c r="BA39" s="2">
        <v>5</v>
      </c>
      <c r="BB39" s="2">
        <v>100</v>
      </c>
      <c r="BC39" s="2">
        <v>200</v>
      </c>
      <c r="BD39" s="2">
        <v>0.2</v>
      </c>
      <c r="BE39" s="2" t="str">
        <f>_xlfn.CONCAT(Table1[[#This Row],[GasRate]]," + ",Table1[[#This Row],[LaborFeeLeaseRate]])</f>
        <v>$ 2.65/Gal. + $ 0.2/Gal.</v>
      </c>
      <c r="BF39" s="2" t="str">
        <f>_xlfn.CONCAT(Table1[[#This Row],[DieselRate]]," + ",Table1[[#This Row],[LaborFeeLeaseRate]])</f>
        <v>$ 2.93/Gal. + $ 0.2/Gal.</v>
      </c>
      <c r="BG39" s="2" t="str">
        <f>_xlfn.CONCAT("$ ",Table1[[#This Row],[LaborFeeLease]],"/Gal.")</f>
        <v>$ 0.2/Gal.</v>
      </c>
      <c r="BH39" s="2" t="s">
        <v>178</v>
      </c>
      <c r="BI39" s="2" t="s">
        <v>179</v>
      </c>
      <c r="BJ39" s="2" t="s">
        <v>180</v>
      </c>
      <c r="BK39" s="2" t="s">
        <v>181</v>
      </c>
      <c r="BL39" s="2" t="s">
        <v>182</v>
      </c>
      <c r="BM39" s="2" t="s">
        <v>212</v>
      </c>
      <c r="BN39" s="2" t="s">
        <v>213</v>
      </c>
      <c r="BO39" s="2" t="s">
        <v>214</v>
      </c>
      <c r="BP39" s="2" t="s">
        <v>183</v>
      </c>
      <c r="BQ39" s="2" t="s">
        <v>184</v>
      </c>
      <c r="BR39" s="2" t="s">
        <v>185</v>
      </c>
      <c r="BS39" s="2" t="s">
        <v>186</v>
      </c>
      <c r="BT39" s="2" t="s">
        <v>187</v>
      </c>
      <c r="BU39" s="2" t="s">
        <v>217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f>Table1[[#This Row],[JeffCombineFees]]+Table1[[#This Row],[ZackCombineFees]]</f>
        <v>0</v>
      </c>
      <c r="CI39" s="2">
        <f>SUM(Table1[[#This Row],[LeaseGasolineTotal]:[CombineFeesTotal]])</f>
        <v>0</v>
      </c>
    </row>
    <row r="40" spans="1:87" x14ac:dyDescent="0.35">
      <c r="A40" s="2">
        <v>26</v>
      </c>
      <c r="B40" s="2" t="s">
        <v>229</v>
      </c>
      <c r="C40" s="2" t="s">
        <v>217</v>
      </c>
      <c r="E40" s="2" t="s">
        <v>161</v>
      </c>
      <c r="F40" s="2" t="s">
        <v>159</v>
      </c>
      <c r="G40" s="2" t="s">
        <v>152</v>
      </c>
      <c r="H40" s="2" t="s">
        <v>222</v>
      </c>
      <c r="I40" s="2" t="s">
        <v>266</v>
      </c>
      <c r="J40" s="6"/>
      <c r="K40" s="6"/>
      <c r="L40" s="6"/>
      <c r="AQ40" s="2">
        <v>2.65</v>
      </c>
      <c r="AR40" s="2">
        <v>2.93</v>
      </c>
      <c r="AS40" s="2">
        <v>1.25</v>
      </c>
      <c r="AT40" s="2">
        <v>7</v>
      </c>
      <c r="AU40" s="4">
        <v>3</v>
      </c>
      <c r="AV40" s="1">
        <v>40</v>
      </c>
      <c r="AW40" s="1">
        <v>65</v>
      </c>
      <c r="AX40" s="1">
        <v>80</v>
      </c>
      <c r="AY40" s="2">
        <v>1</v>
      </c>
      <c r="AZ40" s="2">
        <v>5</v>
      </c>
      <c r="BA40" s="2">
        <v>5</v>
      </c>
      <c r="BB40" s="2">
        <v>100</v>
      </c>
      <c r="BC40" s="2">
        <v>200</v>
      </c>
      <c r="BD40" s="2">
        <v>0.2</v>
      </c>
      <c r="BE40" s="2" t="str">
        <f>_xlfn.CONCAT(Table1[[#This Row],[GasRate]]," + ",Table1[[#This Row],[LaborFeeLeaseRate]])</f>
        <v>$ 2.65/Gal. + $ 0.2/Gal.</v>
      </c>
      <c r="BF40" s="2" t="str">
        <f>_xlfn.CONCAT(Table1[[#This Row],[DieselRate]]," + ",Table1[[#This Row],[LaborFeeLeaseRate]])</f>
        <v>$ 2.93/Gal. + $ 0.2/Gal.</v>
      </c>
      <c r="BG40" s="2" t="str">
        <f>_xlfn.CONCAT("$ ",Table1[[#This Row],[LaborFeeLease]],"/Gal.")</f>
        <v>$ 0.2/Gal.</v>
      </c>
      <c r="BH40" s="2" t="s">
        <v>178</v>
      </c>
      <c r="BI40" s="2" t="s">
        <v>179</v>
      </c>
      <c r="BJ40" s="2" t="s">
        <v>180</v>
      </c>
      <c r="BK40" s="2" t="s">
        <v>181</v>
      </c>
      <c r="BL40" s="2" t="s">
        <v>182</v>
      </c>
      <c r="BM40" s="2" t="s">
        <v>212</v>
      </c>
      <c r="BN40" s="2" t="s">
        <v>213</v>
      </c>
      <c r="BO40" s="2" t="s">
        <v>214</v>
      </c>
      <c r="BP40" s="2" t="s">
        <v>183</v>
      </c>
      <c r="BQ40" s="2" t="s">
        <v>184</v>
      </c>
      <c r="BR40" s="2" t="s">
        <v>185</v>
      </c>
      <c r="BS40" s="2" t="s">
        <v>186</v>
      </c>
      <c r="BT40" s="2" t="s">
        <v>187</v>
      </c>
      <c r="BU40" s="2" t="s">
        <v>217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f>Table1[[#This Row],[JeffCombineFees]]+Table1[[#This Row],[ZackCombineFees]]</f>
        <v>0</v>
      </c>
      <c r="CI40" s="2">
        <f>SUM(Table1[[#This Row],[LeaseGasolineTotal]:[CombineFeesTotal]])</f>
        <v>0</v>
      </c>
    </row>
    <row r="41" spans="1:87" x14ac:dyDescent="0.35">
      <c r="A41" s="2">
        <v>26</v>
      </c>
      <c r="B41" s="2" t="s">
        <v>230</v>
      </c>
      <c r="C41" s="2" t="s">
        <v>217</v>
      </c>
      <c r="E41" s="2" t="s">
        <v>161</v>
      </c>
      <c r="F41" s="2" t="s">
        <v>159</v>
      </c>
      <c r="G41" s="2" t="s">
        <v>128</v>
      </c>
      <c r="H41" s="2" t="s">
        <v>223</v>
      </c>
      <c r="I41" s="2" t="s">
        <v>224</v>
      </c>
      <c r="J41" s="6"/>
      <c r="K41" s="6"/>
      <c r="L41" s="6"/>
      <c r="AQ41" s="2">
        <v>2.65</v>
      </c>
      <c r="AR41" s="2">
        <v>2.93</v>
      </c>
      <c r="AS41" s="2">
        <v>1.25</v>
      </c>
      <c r="AT41" s="2">
        <v>7</v>
      </c>
      <c r="AU41" s="4">
        <v>3</v>
      </c>
      <c r="AV41" s="1">
        <v>40</v>
      </c>
      <c r="AW41" s="1">
        <v>65</v>
      </c>
      <c r="AX41" s="1">
        <v>80</v>
      </c>
      <c r="AY41" s="2">
        <v>1</v>
      </c>
      <c r="AZ41" s="2">
        <v>5</v>
      </c>
      <c r="BA41" s="2">
        <v>5</v>
      </c>
      <c r="BB41" s="2">
        <v>100</v>
      </c>
      <c r="BC41" s="2">
        <v>200</v>
      </c>
      <c r="BD41" s="2">
        <v>0.2</v>
      </c>
      <c r="BE41" s="2" t="str">
        <f>_xlfn.CONCAT(Table1[[#This Row],[GasRate]]," + ",Table1[[#This Row],[LaborFeeLeaseRate]])</f>
        <v>$ 2.65/Gal. + $ 0.2/Gal.</v>
      </c>
      <c r="BF41" s="2" t="str">
        <f>_xlfn.CONCAT(Table1[[#This Row],[DieselRate]]," + ",Table1[[#This Row],[LaborFeeLeaseRate]])</f>
        <v>$ 2.93/Gal. + $ 0.2/Gal.</v>
      </c>
      <c r="BG41" s="2" t="str">
        <f>_xlfn.CONCAT("$ ",Table1[[#This Row],[LaborFeeLease]],"/Gal.")</f>
        <v>$ 0.2/Gal.</v>
      </c>
      <c r="BH41" s="2" t="s">
        <v>178</v>
      </c>
      <c r="BI41" s="2" t="s">
        <v>179</v>
      </c>
      <c r="BJ41" s="2" t="s">
        <v>180</v>
      </c>
      <c r="BK41" s="2" t="s">
        <v>181</v>
      </c>
      <c r="BL41" s="2" t="s">
        <v>182</v>
      </c>
      <c r="BM41" s="2" t="s">
        <v>212</v>
      </c>
      <c r="BN41" s="2" t="s">
        <v>213</v>
      </c>
      <c r="BO41" s="2" t="s">
        <v>214</v>
      </c>
      <c r="BP41" s="2" t="s">
        <v>183</v>
      </c>
      <c r="BQ41" s="2" t="s">
        <v>184</v>
      </c>
      <c r="BR41" s="2" t="s">
        <v>185</v>
      </c>
      <c r="BS41" s="2" t="s">
        <v>186</v>
      </c>
      <c r="BT41" s="2" t="s">
        <v>187</v>
      </c>
      <c r="BU41" s="2" t="s">
        <v>217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f>Table1[[#This Row],[JeffCombineFees]]+Table1[[#This Row],[ZackCombineFees]]</f>
        <v>0</v>
      </c>
      <c r="CI41" s="2">
        <f>SUM(Table1[[#This Row],[LeaseGasolineTotal]:[CombineFeesTotal]])</f>
        <v>0</v>
      </c>
    </row>
    <row r="42" spans="1:87" x14ac:dyDescent="0.35">
      <c r="A42" s="2">
        <v>26</v>
      </c>
      <c r="B42" s="2" t="s">
        <v>231</v>
      </c>
      <c r="C42" s="2" t="s">
        <v>217</v>
      </c>
      <c r="E42" s="2" t="s">
        <v>161</v>
      </c>
      <c r="F42" s="2" t="s">
        <v>159</v>
      </c>
      <c r="G42" s="2" t="s">
        <v>118</v>
      </c>
      <c r="H42" s="2" t="s">
        <v>241</v>
      </c>
      <c r="I42" s="2" t="s">
        <v>225</v>
      </c>
      <c r="J42" s="6"/>
      <c r="K42" s="6"/>
      <c r="L42" s="6"/>
      <c r="AQ42" s="2">
        <v>2.65</v>
      </c>
      <c r="AR42" s="2">
        <v>2.93</v>
      </c>
      <c r="AS42" s="2">
        <v>1.25</v>
      </c>
      <c r="AT42" s="2">
        <v>7</v>
      </c>
      <c r="AU42" s="4">
        <v>3</v>
      </c>
      <c r="AV42" s="1">
        <v>40</v>
      </c>
      <c r="AW42" s="1">
        <v>65</v>
      </c>
      <c r="AX42" s="1">
        <v>80</v>
      </c>
      <c r="AY42" s="2">
        <v>1</v>
      </c>
      <c r="AZ42" s="2">
        <v>5</v>
      </c>
      <c r="BA42" s="2">
        <v>5</v>
      </c>
      <c r="BB42" s="2">
        <v>100</v>
      </c>
      <c r="BC42" s="2">
        <v>200</v>
      </c>
      <c r="BD42" s="2">
        <v>0.2</v>
      </c>
      <c r="BE42" s="2" t="str">
        <f>_xlfn.CONCAT(Table1[[#This Row],[GasRate]]," + ",Table1[[#This Row],[LaborFeeLeaseRate]])</f>
        <v>$ 2.65/Gal. + $ 0.2/Gal.</v>
      </c>
      <c r="BF42" s="2" t="str">
        <f>_xlfn.CONCAT(Table1[[#This Row],[DieselRate]]," + ",Table1[[#This Row],[LaborFeeLeaseRate]])</f>
        <v>$ 2.93/Gal. + $ 0.2/Gal.</v>
      </c>
      <c r="BG42" s="2" t="str">
        <f>_xlfn.CONCAT("$ ",Table1[[#This Row],[LaborFeeLease]],"/Gal.")</f>
        <v>$ 0.2/Gal.</v>
      </c>
      <c r="BH42" s="2" t="s">
        <v>178</v>
      </c>
      <c r="BI42" s="2" t="s">
        <v>179</v>
      </c>
      <c r="BJ42" s="2" t="s">
        <v>180</v>
      </c>
      <c r="BK42" s="2" t="s">
        <v>181</v>
      </c>
      <c r="BL42" s="2" t="s">
        <v>182</v>
      </c>
      <c r="BM42" s="2" t="s">
        <v>212</v>
      </c>
      <c r="BN42" s="2" t="s">
        <v>213</v>
      </c>
      <c r="BO42" s="2" t="s">
        <v>214</v>
      </c>
      <c r="BP42" s="2" t="s">
        <v>183</v>
      </c>
      <c r="BQ42" s="2" t="s">
        <v>184</v>
      </c>
      <c r="BR42" s="2" t="s">
        <v>185</v>
      </c>
      <c r="BS42" s="2" t="s">
        <v>186</v>
      </c>
      <c r="BT42" s="2" t="s">
        <v>187</v>
      </c>
      <c r="BU42" s="2" t="s">
        <v>217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f>Table1[[#This Row],[JeffCombineFees]]+Table1[[#This Row],[ZackCombineFees]]</f>
        <v>0</v>
      </c>
      <c r="CI42" s="2">
        <f>SUM(Table1[[#This Row],[LeaseGasolineTotal]:[CombineFeesTotal]])</f>
        <v>0</v>
      </c>
    </row>
    <row r="43" spans="1:87" x14ac:dyDescent="0.35">
      <c r="A43" s="2">
        <v>26</v>
      </c>
      <c r="B43" s="2" t="s">
        <v>233</v>
      </c>
      <c r="C43" s="2" t="s">
        <v>217</v>
      </c>
      <c r="E43" s="2" t="s">
        <v>161</v>
      </c>
      <c r="F43" s="2" t="s">
        <v>159</v>
      </c>
      <c r="G43" s="2" t="s">
        <v>128</v>
      </c>
      <c r="H43" s="2" t="s">
        <v>232</v>
      </c>
      <c r="I43" s="2" t="s">
        <v>234</v>
      </c>
      <c r="J43" s="6"/>
      <c r="K43" s="6"/>
      <c r="L43" s="6"/>
      <c r="AQ43" s="2">
        <v>2.65</v>
      </c>
      <c r="AR43" s="2">
        <v>2.93</v>
      </c>
      <c r="AS43" s="2">
        <v>1.25</v>
      </c>
      <c r="AT43" s="2">
        <v>7</v>
      </c>
      <c r="AU43" s="4">
        <v>3</v>
      </c>
      <c r="AV43" s="1">
        <v>40</v>
      </c>
      <c r="AW43" s="1">
        <v>65</v>
      </c>
      <c r="AX43" s="1">
        <v>80</v>
      </c>
      <c r="AY43" s="2">
        <v>1</v>
      </c>
      <c r="AZ43" s="2">
        <v>5</v>
      </c>
      <c r="BA43" s="2">
        <v>5</v>
      </c>
      <c r="BB43" s="2">
        <v>100</v>
      </c>
      <c r="BC43" s="2">
        <v>200</v>
      </c>
      <c r="BD43" s="2">
        <v>0.2</v>
      </c>
      <c r="BE43" s="2" t="str">
        <f>_xlfn.CONCAT(Table1[[#This Row],[GasRate]]," + ",Table1[[#This Row],[LaborFeeLeaseRate]])</f>
        <v>$ 2.65/Gal. + $ 0.2/Gal.</v>
      </c>
      <c r="BF43" s="2" t="str">
        <f>_xlfn.CONCAT(Table1[[#This Row],[DieselRate]]," + ",Table1[[#This Row],[LaborFeeLeaseRate]])</f>
        <v>$ 2.93/Gal. + $ 0.2/Gal.</v>
      </c>
      <c r="BG43" s="2" t="str">
        <f>_xlfn.CONCAT("$ ",Table1[[#This Row],[LaborFeeLease]],"/Gal.")</f>
        <v>$ 0.2/Gal.</v>
      </c>
      <c r="BH43" s="2" t="s">
        <v>178</v>
      </c>
      <c r="BI43" s="2" t="s">
        <v>179</v>
      </c>
      <c r="BJ43" s="2" t="s">
        <v>180</v>
      </c>
      <c r="BK43" s="2" t="s">
        <v>181</v>
      </c>
      <c r="BL43" s="2" t="s">
        <v>182</v>
      </c>
      <c r="BM43" s="2" t="s">
        <v>212</v>
      </c>
      <c r="BN43" s="2" t="s">
        <v>213</v>
      </c>
      <c r="BO43" s="2" t="s">
        <v>214</v>
      </c>
      <c r="BP43" s="2" t="s">
        <v>183</v>
      </c>
      <c r="BQ43" s="2" t="s">
        <v>184</v>
      </c>
      <c r="BR43" s="2" t="s">
        <v>185</v>
      </c>
      <c r="BS43" s="2" t="s">
        <v>186</v>
      </c>
      <c r="BT43" s="2" t="s">
        <v>187</v>
      </c>
      <c r="BU43" s="2" t="s">
        <v>217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f>Table1[[#This Row],[JeffCombineFees]]+Table1[[#This Row],[ZackCombineFees]]</f>
        <v>0</v>
      </c>
      <c r="CI43" s="2">
        <f>SUM(Table1[[#This Row],[LeaseGasolineTotal]:[CombineFeesTotal]])</f>
        <v>0</v>
      </c>
    </row>
    <row r="44" spans="1:87" x14ac:dyDescent="0.35">
      <c r="A44" s="2">
        <v>26</v>
      </c>
      <c r="B44" s="2" t="s">
        <v>270</v>
      </c>
      <c r="C44" s="2" t="s">
        <v>217</v>
      </c>
      <c r="E44" s="2" t="s">
        <v>161</v>
      </c>
      <c r="F44" s="2" t="s">
        <v>159</v>
      </c>
      <c r="G44" s="2" t="s">
        <v>118</v>
      </c>
      <c r="H44" s="2" t="s">
        <v>235</v>
      </c>
      <c r="I44" s="2" t="s">
        <v>236</v>
      </c>
      <c r="J44" s="6"/>
      <c r="K44" s="6"/>
      <c r="L44" s="6"/>
      <c r="AU44" s="4"/>
      <c r="AV44" s="1"/>
      <c r="AW44" s="1"/>
      <c r="AX44" s="1"/>
      <c r="BE44" s="2" t="str">
        <f>_xlfn.CONCAT(Table1[[#This Row],[GasRate]]," + ",Table1[[#This Row],[LaborFeeLeaseRate]])</f>
        <v xml:space="preserve"> + $ /Gal.</v>
      </c>
      <c r="BF44" s="2" t="str">
        <f>_xlfn.CONCAT(Table1[[#This Row],[DieselRate]]," + ",Table1[[#This Row],[LaborFeeLeaseRate]])</f>
        <v xml:space="preserve"> + $ /Gal.</v>
      </c>
      <c r="BG44" s="2" t="str">
        <f>_xlfn.CONCAT("$ ",Table1[[#This Row],[LaborFeeLease]],"/Gal.")</f>
        <v>$ /Gal.</v>
      </c>
      <c r="CH44" s="2">
        <f>Table1[[#This Row],[JeffCombineFees]]+Table1[[#This Row],[ZackCombineFees]]</f>
        <v>0</v>
      </c>
      <c r="CI44" s="2">
        <f>SUM(Table1[[#This Row],[LeaseGasolineTotal]:[CombineFeesTotal]])</f>
        <v>0</v>
      </c>
    </row>
    <row r="45" spans="1:87" x14ac:dyDescent="0.35">
      <c r="A45" s="2">
        <v>26</v>
      </c>
      <c r="B45" s="2" t="s">
        <v>271</v>
      </c>
      <c r="C45" s="2" t="s">
        <v>217</v>
      </c>
      <c r="E45" s="2" t="s">
        <v>161</v>
      </c>
      <c r="F45" s="2" t="s">
        <v>159</v>
      </c>
      <c r="G45" s="2" t="s">
        <v>122</v>
      </c>
      <c r="H45" s="2" t="s">
        <v>237</v>
      </c>
      <c r="I45" s="2" t="s">
        <v>238</v>
      </c>
      <c r="J45" s="6"/>
      <c r="K45" s="6"/>
      <c r="L45" s="6"/>
      <c r="AU45" s="4"/>
      <c r="AV45" s="1"/>
      <c r="AW45" s="1"/>
      <c r="AX45" s="1"/>
      <c r="BE45" s="2" t="str">
        <f>_xlfn.CONCAT(Table1[[#This Row],[GasRate]]," + ",Table1[[#This Row],[LaborFeeLeaseRate]])</f>
        <v xml:space="preserve"> + $ /Gal.</v>
      </c>
      <c r="BF45" s="2" t="str">
        <f>_xlfn.CONCAT(Table1[[#This Row],[DieselRate]]," + ",Table1[[#This Row],[LaborFeeLeaseRate]])</f>
        <v xml:space="preserve"> + $ /Gal.</v>
      </c>
      <c r="BG45" s="2" t="str">
        <f>_xlfn.CONCAT("$ ",Table1[[#This Row],[LaborFeeLease]],"/Gal.")</f>
        <v>$ /Gal.</v>
      </c>
      <c r="CH45" s="2">
        <f>Table1[[#This Row],[JeffCombineFees]]+Table1[[#This Row],[ZackCombineFees]]</f>
        <v>0</v>
      </c>
      <c r="CI45" s="2">
        <f>SUM(Table1[[#This Row],[LeaseGasolineTotal]:[CombineFeesTotal]])</f>
        <v>0</v>
      </c>
    </row>
    <row r="46" spans="1:87" x14ac:dyDescent="0.35">
      <c r="A46" s="2">
        <v>26</v>
      </c>
      <c r="B46" s="2" t="s">
        <v>272</v>
      </c>
      <c r="C46" s="2" t="s">
        <v>217</v>
      </c>
      <c r="E46" s="2" t="s">
        <v>161</v>
      </c>
      <c r="F46" s="2" t="s">
        <v>159</v>
      </c>
      <c r="G46" s="2" t="s">
        <v>152</v>
      </c>
      <c r="H46" s="2" t="s">
        <v>239</v>
      </c>
      <c r="I46" s="2" t="s">
        <v>240</v>
      </c>
      <c r="J46" s="6"/>
      <c r="K46" s="6"/>
      <c r="L46" s="6"/>
      <c r="AU46" s="4"/>
      <c r="AV46" s="1"/>
      <c r="AW46" s="1"/>
      <c r="AX46" s="1"/>
      <c r="BE46" s="2" t="str">
        <f>_xlfn.CONCAT(Table1[[#This Row],[GasRate]]," + ",Table1[[#This Row],[LaborFeeLeaseRate]])</f>
        <v xml:space="preserve"> + $ /Gal.</v>
      </c>
      <c r="BF46" s="2" t="str">
        <f>_xlfn.CONCAT(Table1[[#This Row],[DieselRate]]," + ",Table1[[#This Row],[LaborFeeLeaseRate]])</f>
        <v xml:space="preserve"> + $ /Gal.</v>
      </c>
      <c r="BG46" s="2" t="str">
        <f>_xlfn.CONCAT("$ ",Table1[[#This Row],[LaborFeeLease]],"/Gal.")</f>
        <v>$ /Gal.</v>
      </c>
      <c r="CH46" s="2">
        <f>Table1[[#This Row],[JeffCombineFees]]+Table1[[#This Row],[ZackCombineFees]]</f>
        <v>0</v>
      </c>
      <c r="CI46" s="2">
        <f>SUM(Table1[[#This Row],[LeaseGasolineTotal]:[CombineFeesTotal]])</f>
        <v>0</v>
      </c>
    </row>
    <row r="47" spans="1:87" x14ac:dyDescent="0.35">
      <c r="A47" s="2">
        <v>26</v>
      </c>
      <c r="B47" s="2" t="s">
        <v>273</v>
      </c>
      <c r="C47" s="2" t="s">
        <v>217</v>
      </c>
      <c r="E47" s="2" t="s">
        <v>161</v>
      </c>
      <c r="F47" s="2" t="s">
        <v>159</v>
      </c>
      <c r="G47" s="2" t="s">
        <v>245</v>
      </c>
      <c r="H47" s="2" t="s">
        <v>243</v>
      </c>
      <c r="I47" s="2" t="s">
        <v>244</v>
      </c>
      <c r="J47" s="6"/>
      <c r="K47" s="6"/>
      <c r="L47" s="6"/>
      <c r="AU47" s="4"/>
      <c r="AV47" s="1"/>
      <c r="AW47" s="1"/>
      <c r="AX47" s="1"/>
      <c r="BE47" s="2" t="str">
        <f>_xlfn.CONCAT(Table1[[#This Row],[GasRate]]," + ",Table1[[#This Row],[LaborFeeLeaseRate]])</f>
        <v xml:space="preserve"> + $ /Gal.</v>
      </c>
      <c r="BF47" s="2" t="str">
        <f>_xlfn.CONCAT(Table1[[#This Row],[DieselRate]]," + ",Table1[[#This Row],[LaborFeeLeaseRate]])</f>
        <v xml:space="preserve"> + $ /Gal.</v>
      </c>
      <c r="BG47" s="2" t="str">
        <f>_xlfn.CONCAT("$ ",Table1[[#This Row],[LaborFeeLease]],"/Gal.")</f>
        <v>$ /Gal.</v>
      </c>
      <c r="CH47" s="2">
        <f>Table1[[#This Row],[JeffCombineFees]]+Table1[[#This Row],[ZackCombineFees]]</f>
        <v>0</v>
      </c>
      <c r="CI47" s="2">
        <f>SUM(Table1[[#This Row],[LeaseGasolineTotal]:[CombineFeesTotal]])</f>
        <v>0</v>
      </c>
    </row>
    <row r="48" spans="1:87" x14ac:dyDescent="0.35">
      <c r="A48" s="2">
        <v>26</v>
      </c>
      <c r="B48" s="2" t="s">
        <v>274</v>
      </c>
      <c r="C48" s="2" t="s">
        <v>217</v>
      </c>
      <c r="E48" s="2" t="s">
        <v>161</v>
      </c>
      <c r="F48" s="2" t="s">
        <v>159</v>
      </c>
      <c r="G48" s="2" t="s">
        <v>130</v>
      </c>
      <c r="H48" s="2" t="s">
        <v>246</v>
      </c>
      <c r="I48" s="2" t="s">
        <v>247</v>
      </c>
      <c r="J48" s="6"/>
      <c r="K48" s="6"/>
      <c r="L48" s="6"/>
      <c r="AU48" s="4"/>
      <c r="AV48" s="1"/>
      <c r="AW48" s="1"/>
      <c r="AX48" s="1"/>
      <c r="BE48" s="2" t="str">
        <f>_xlfn.CONCAT(Table1[[#This Row],[GasRate]]," + ",Table1[[#This Row],[LaborFeeLeaseRate]])</f>
        <v xml:space="preserve"> + $ /Gal.</v>
      </c>
      <c r="BF48" s="2" t="str">
        <f>_xlfn.CONCAT(Table1[[#This Row],[DieselRate]]," + ",Table1[[#This Row],[LaborFeeLeaseRate]])</f>
        <v xml:space="preserve"> + $ /Gal.</v>
      </c>
      <c r="BG48" s="2" t="str">
        <f>_xlfn.CONCAT("$ ",Table1[[#This Row],[LaborFeeLease]],"/Gal.")</f>
        <v>$ /Gal.</v>
      </c>
      <c r="CH48" s="2">
        <f>Table1[[#This Row],[JeffCombineFees]]+Table1[[#This Row],[ZackCombineFees]]</f>
        <v>0</v>
      </c>
      <c r="CI48" s="2">
        <f>SUM(Table1[[#This Row],[LeaseGasolineTotal]:[CombineFeesTotal]])</f>
        <v>0</v>
      </c>
    </row>
    <row r="49" spans="1:87" x14ac:dyDescent="0.35">
      <c r="A49" s="2">
        <v>26</v>
      </c>
      <c r="B49" s="2" t="s">
        <v>275</v>
      </c>
      <c r="C49" s="2" t="s">
        <v>217</v>
      </c>
      <c r="E49" s="2" t="s">
        <v>161</v>
      </c>
      <c r="F49" s="2" t="s">
        <v>159</v>
      </c>
      <c r="G49" s="2" t="s">
        <v>122</v>
      </c>
      <c r="H49" s="2" t="s">
        <v>248</v>
      </c>
      <c r="I49" s="2" t="s">
        <v>249</v>
      </c>
      <c r="J49" s="6"/>
      <c r="K49" s="6"/>
      <c r="L49" s="6"/>
      <c r="AU49" s="4"/>
      <c r="AV49" s="1"/>
      <c r="AW49" s="1"/>
      <c r="AX49" s="1"/>
      <c r="BE49" s="2" t="str">
        <f>_xlfn.CONCAT(Table1[[#This Row],[GasRate]]," + ",Table1[[#This Row],[LaborFeeLeaseRate]])</f>
        <v xml:space="preserve"> + $ /Gal.</v>
      </c>
      <c r="BF49" s="2" t="str">
        <f>_xlfn.CONCAT(Table1[[#This Row],[DieselRate]]," + ",Table1[[#This Row],[LaborFeeLeaseRate]])</f>
        <v xml:space="preserve"> + $ /Gal.</v>
      </c>
      <c r="BG49" s="2" t="str">
        <f>_xlfn.CONCAT("$ ",Table1[[#This Row],[LaborFeeLease]],"/Gal.")</f>
        <v>$ /Gal.</v>
      </c>
      <c r="CH49" s="2">
        <f>Table1[[#This Row],[JeffCombineFees]]+Table1[[#This Row],[ZackCombineFees]]</f>
        <v>0</v>
      </c>
      <c r="CI49" s="2">
        <f>SUM(Table1[[#This Row],[LeaseGasolineTotal]:[CombineFeesTotal]])</f>
        <v>0</v>
      </c>
    </row>
    <row r="50" spans="1:87" x14ac:dyDescent="0.35">
      <c r="A50" s="2">
        <v>26</v>
      </c>
      <c r="B50" s="2" t="s">
        <v>276</v>
      </c>
      <c r="C50" s="2" t="s">
        <v>217</v>
      </c>
      <c r="E50" s="2" t="s">
        <v>161</v>
      </c>
      <c r="F50" s="2" t="s">
        <v>159</v>
      </c>
      <c r="G50" s="2" t="s">
        <v>251</v>
      </c>
      <c r="H50" s="2" t="s">
        <v>250</v>
      </c>
      <c r="I50" s="2" t="s">
        <v>252</v>
      </c>
      <c r="J50" s="6"/>
      <c r="K50" s="6"/>
      <c r="L50" s="6"/>
      <c r="AU50" s="4"/>
      <c r="AV50" s="1"/>
      <c r="AW50" s="1"/>
      <c r="AX50" s="1"/>
      <c r="BE50" s="2" t="str">
        <f>_xlfn.CONCAT(Table1[[#This Row],[GasRate]]," + ",Table1[[#This Row],[LaborFeeLeaseRate]])</f>
        <v xml:space="preserve"> + $ /Gal.</v>
      </c>
      <c r="BF50" s="2" t="str">
        <f>_xlfn.CONCAT(Table1[[#This Row],[DieselRate]]," + ",Table1[[#This Row],[LaborFeeLeaseRate]])</f>
        <v xml:space="preserve"> + $ /Gal.</v>
      </c>
      <c r="BG50" s="2" t="str">
        <f>_xlfn.CONCAT("$ ",Table1[[#This Row],[LaborFeeLease]],"/Gal.")</f>
        <v>$ /Gal.</v>
      </c>
      <c r="CH50" s="2">
        <f>Table1[[#This Row],[JeffCombineFees]]+Table1[[#This Row],[ZackCombineFees]]</f>
        <v>0</v>
      </c>
      <c r="CI50" s="2">
        <f>SUM(Table1[[#This Row],[LeaseGasolineTotal]:[CombineFeesTotal]])</f>
        <v>0</v>
      </c>
    </row>
    <row r="51" spans="1:87" x14ac:dyDescent="0.35">
      <c r="A51" s="2">
        <v>26</v>
      </c>
      <c r="B51" s="2" t="s">
        <v>277</v>
      </c>
      <c r="C51" s="2" t="s">
        <v>217</v>
      </c>
      <c r="E51" s="2" t="s">
        <v>161</v>
      </c>
      <c r="F51" s="2" t="s">
        <v>159</v>
      </c>
      <c r="G51" s="2" t="s">
        <v>122</v>
      </c>
      <c r="H51" s="2" t="s">
        <v>253</v>
      </c>
      <c r="I51" s="2" t="s">
        <v>254</v>
      </c>
      <c r="J51" s="6"/>
      <c r="K51" s="6"/>
      <c r="L51" s="6"/>
      <c r="AU51" s="4"/>
      <c r="AV51" s="1"/>
      <c r="AW51" s="1"/>
      <c r="AX51" s="1"/>
      <c r="BE51" s="2" t="str">
        <f>_xlfn.CONCAT(Table1[[#This Row],[GasRate]]," + ",Table1[[#This Row],[LaborFeeLeaseRate]])</f>
        <v xml:space="preserve"> + $ /Gal.</v>
      </c>
      <c r="BF51" s="2" t="str">
        <f>_xlfn.CONCAT(Table1[[#This Row],[DieselRate]]," + ",Table1[[#This Row],[LaborFeeLeaseRate]])</f>
        <v xml:space="preserve"> + $ /Gal.</v>
      </c>
      <c r="BG51" s="2" t="str">
        <f>_xlfn.CONCAT("$ ",Table1[[#This Row],[LaborFeeLease]],"/Gal.")</f>
        <v>$ /Gal.</v>
      </c>
      <c r="CH51" s="2">
        <f>Table1[[#This Row],[JeffCombineFees]]+Table1[[#This Row],[ZackCombineFees]]</f>
        <v>0</v>
      </c>
      <c r="CI51" s="2">
        <f>SUM(Table1[[#This Row],[LeaseGasolineTotal]:[CombineFeesTotal]])</f>
        <v>0</v>
      </c>
    </row>
    <row r="52" spans="1:87" x14ac:dyDescent="0.35">
      <c r="A52" s="2">
        <v>26</v>
      </c>
      <c r="B52" s="2" t="s">
        <v>278</v>
      </c>
      <c r="C52" s="2" t="s">
        <v>217</v>
      </c>
      <c r="E52" s="2" t="s">
        <v>161</v>
      </c>
      <c r="F52" s="2" t="s">
        <v>159</v>
      </c>
      <c r="G52" s="2" t="s">
        <v>152</v>
      </c>
      <c r="H52" s="2" t="s">
        <v>256</v>
      </c>
      <c r="I52" s="2" t="s">
        <v>255</v>
      </c>
      <c r="J52" s="6"/>
      <c r="K52" s="6"/>
      <c r="L52" s="6"/>
      <c r="AU52" s="4"/>
      <c r="AV52" s="1"/>
      <c r="AW52" s="1"/>
      <c r="AX52" s="1"/>
      <c r="BE52" s="2" t="str">
        <f>_xlfn.CONCAT(Table1[[#This Row],[GasRate]]," + ",Table1[[#This Row],[LaborFeeLeaseRate]])</f>
        <v xml:space="preserve"> + $ /Gal.</v>
      </c>
      <c r="BF52" s="2" t="str">
        <f>_xlfn.CONCAT(Table1[[#This Row],[DieselRate]]," + ",Table1[[#This Row],[LaborFeeLeaseRate]])</f>
        <v xml:space="preserve"> + $ /Gal.</v>
      </c>
      <c r="BG52" s="2" t="str">
        <f>_xlfn.CONCAT("$ ",Table1[[#This Row],[LaborFeeLease]],"/Gal.")</f>
        <v>$ /Gal.</v>
      </c>
      <c r="CH52" s="2">
        <f>Table1[[#This Row],[JeffCombineFees]]+Table1[[#This Row],[ZackCombineFees]]</f>
        <v>0</v>
      </c>
      <c r="CI52" s="2">
        <f>SUM(Table1[[#This Row],[LeaseGasolineTotal]:[CombineFeesTotal]])</f>
        <v>0</v>
      </c>
    </row>
    <row r="53" spans="1:87" x14ac:dyDescent="0.35">
      <c r="A53" s="2">
        <v>26</v>
      </c>
      <c r="B53" s="2" t="s">
        <v>279</v>
      </c>
      <c r="C53" s="2" t="s">
        <v>217</v>
      </c>
      <c r="E53" s="2" t="s">
        <v>161</v>
      </c>
      <c r="F53" s="2" t="s">
        <v>159</v>
      </c>
      <c r="G53" s="2" t="s">
        <v>152</v>
      </c>
      <c r="H53" s="2" t="s">
        <v>257</v>
      </c>
      <c r="I53" s="2" t="s">
        <v>258</v>
      </c>
      <c r="J53" s="6"/>
      <c r="K53" s="6"/>
      <c r="L53" s="6"/>
      <c r="AU53" s="4"/>
      <c r="AV53" s="1"/>
      <c r="AW53" s="1"/>
      <c r="AX53" s="1"/>
      <c r="BE53" s="2" t="str">
        <f>_xlfn.CONCAT(Table1[[#This Row],[GasRate]]," + ",Table1[[#This Row],[LaborFeeLeaseRate]])</f>
        <v xml:space="preserve"> + $ /Gal.</v>
      </c>
      <c r="BF53" s="2" t="str">
        <f>_xlfn.CONCAT(Table1[[#This Row],[DieselRate]]," + ",Table1[[#This Row],[LaborFeeLeaseRate]])</f>
        <v xml:space="preserve"> + $ /Gal.</v>
      </c>
      <c r="BG53" s="2" t="str">
        <f>_xlfn.CONCAT("$ ",Table1[[#This Row],[LaborFeeLease]],"/Gal.")</f>
        <v>$ /Gal.</v>
      </c>
      <c r="CH53" s="2">
        <f>Table1[[#This Row],[JeffCombineFees]]+Table1[[#This Row],[ZackCombineFees]]</f>
        <v>0</v>
      </c>
      <c r="CI53" s="2">
        <f>SUM(Table1[[#This Row],[LeaseGasolineTotal]:[CombineFeesTotal]])</f>
        <v>0</v>
      </c>
    </row>
    <row r="54" spans="1:87" x14ac:dyDescent="0.35">
      <c r="A54" s="2">
        <v>26</v>
      </c>
      <c r="B54" s="2" t="s">
        <v>280</v>
      </c>
      <c r="C54" s="2" t="s">
        <v>217</v>
      </c>
      <c r="E54" s="2" t="s">
        <v>161</v>
      </c>
      <c r="F54" s="2" t="s">
        <v>159</v>
      </c>
      <c r="G54" s="2" t="s">
        <v>152</v>
      </c>
      <c r="H54" s="2" t="s">
        <v>259</v>
      </c>
      <c r="I54" s="2" t="s">
        <v>269</v>
      </c>
      <c r="J54" s="6"/>
      <c r="K54" s="6"/>
      <c r="L54" s="6"/>
      <c r="AU54" s="4"/>
      <c r="AV54" s="1"/>
      <c r="AW54" s="1"/>
      <c r="AX54" s="1"/>
      <c r="BE54" s="2" t="str">
        <f>_xlfn.CONCAT(Table1[[#This Row],[GasRate]]," + ",Table1[[#This Row],[LaborFeeLeaseRate]])</f>
        <v xml:space="preserve"> + $ /Gal.</v>
      </c>
      <c r="BF54" s="2" t="str">
        <f>_xlfn.CONCAT(Table1[[#This Row],[DieselRate]]," + ",Table1[[#This Row],[LaborFeeLeaseRate]])</f>
        <v xml:space="preserve"> + $ /Gal.</v>
      </c>
      <c r="BG54" s="2" t="str">
        <f>_xlfn.CONCAT("$ ",Table1[[#This Row],[LaborFeeLease]],"/Gal.")</f>
        <v>$ /Gal.</v>
      </c>
      <c r="CH54" s="2">
        <f>Table1[[#This Row],[JeffCombineFees]]+Table1[[#This Row],[ZackCombineFees]]</f>
        <v>0</v>
      </c>
      <c r="CI54" s="2">
        <f>SUM(Table1[[#This Row],[LeaseGasolineTotal]:[CombineFeesTotal]])</f>
        <v>0</v>
      </c>
    </row>
    <row r="55" spans="1:87" x14ac:dyDescent="0.35">
      <c r="A55" s="2">
        <v>26</v>
      </c>
      <c r="B55" s="2" t="s">
        <v>281</v>
      </c>
      <c r="C55" s="2" t="s">
        <v>217</v>
      </c>
      <c r="E55" s="2" t="s">
        <v>161</v>
      </c>
      <c r="F55" s="2" t="s">
        <v>159</v>
      </c>
      <c r="G55" s="2" t="s">
        <v>152</v>
      </c>
      <c r="H55" s="2" t="s">
        <v>261</v>
      </c>
      <c r="I55" s="2" t="s">
        <v>260</v>
      </c>
      <c r="J55" s="6"/>
      <c r="K55" s="6"/>
      <c r="L55" s="6"/>
      <c r="AU55" s="4"/>
      <c r="AV55" s="1"/>
      <c r="AW55" s="1"/>
      <c r="AX55" s="1"/>
      <c r="BE55" s="2" t="str">
        <f>_xlfn.CONCAT(Table1[[#This Row],[GasRate]]," + ",Table1[[#This Row],[LaborFeeLeaseRate]])</f>
        <v xml:space="preserve"> + $ /Gal.</v>
      </c>
      <c r="BF55" s="2" t="str">
        <f>_xlfn.CONCAT(Table1[[#This Row],[DieselRate]]," + ",Table1[[#This Row],[LaborFeeLeaseRate]])</f>
        <v xml:space="preserve"> + $ /Gal.</v>
      </c>
      <c r="BG55" s="2" t="str">
        <f>_xlfn.CONCAT("$ ",Table1[[#This Row],[LaborFeeLease]],"/Gal.")</f>
        <v>$ /Gal.</v>
      </c>
      <c r="CH55" s="2">
        <f>Table1[[#This Row],[JeffCombineFees]]+Table1[[#This Row],[ZackCombineFees]]</f>
        <v>0</v>
      </c>
      <c r="CI55" s="2">
        <f>SUM(Table1[[#This Row],[LeaseGasolineTotal]:[CombineFeesTotal]])</f>
        <v>0</v>
      </c>
    </row>
    <row r="56" spans="1:87" x14ac:dyDescent="0.35">
      <c r="A56" s="2">
        <v>26</v>
      </c>
      <c r="B56" s="2" t="s">
        <v>282</v>
      </c>
      <c r="C56" s="2" t="s">
        <v>217</v>
      </c>
      <c r="E56" s="2" t="s">
        <v>161</v>
      </c>
      <c r="F56" s="2" t="s">
        <v>159</v>
      </c>
      <c r="G56" s="2" t="s">
        <v>152</v>
      </c>
      <c r="H56" s="2" t="s">
        <v>263</v>
      </c>
      <c r="I56" s="2" t="s">
        <v>262</v>
      </c>
      <c r="J56" s="6"/>
      <c r="K56" s="6"/>
      <c r="L56" s="6"/>
      <c r="AU56" s="4"/>
      <c r="AV56" s="1"/>
      <c r="AW56" s="1"/>
      <c r="AX56" s="1"/>
      <c r="BE56" s="2" t="str">
        <f>_xlfn.CONCAT(Table1[[#This Row],[GasRate]]," + ",Table1[[#This Row],[LaborFeeLeaseRate]])</f>
        <v xml:space="preserve"> + $ /Gal.</v>
      </c>
      <c r="BF56" s="2" t="str">
        <f>_xlfn.CONCAT(Table1[[#This Row],[DieselRate]]," + ",Table1[[#This Row],[LaborFeeLeaseRate]])</f>
        <v xml:space="preserve"> + $ /Gal.</v>
      </c>
      <c r="BG56" s="2" t="str">
        <f>_xlfn.CONCAT("$ ",Table1[[#This Row],[LaborFeeLease]],"/Gal.")</f>
        <v>$ /Gal.</v>
      </c>
      <c r="CH56" s="2">
        <f>Table1[[#This Row],[JeffCombineFees]]+Table1[[#This Row],[ZackCombineFees]]</f>
        <v>0</v>
      </c>
      <c r="CI56" s="2">
        <f>SUM(Table1[[#This Row],[LeaseGasolineTotal]:[CombineFeesTotal]])</f>
        <v>0</v>
      </c>
    </row>
    <row r="57" spans="1:87" x14ac:dyDescent="0.35">
      <c r="A57" s="2">
        <v>26</v>
      </c>
      <c r="B57" s="2" t="s">
        <v>283</v>
      </c>
      <c r="C57" s="2" t="s">
        <v>217</v>
      </c>
      <c r="E57" s="2" t="s">
        <v>161</v>
      </c>
      <c r="F57" s="2" t="s">
        <v>159</v>
      </c>
      <c r="G57" s="2" t="s">
        <v>152</v>
      </c>
      <c r="H57" s="2" t="s">
        <v>265</v>
      </c>
      <c r="I57" s="2" t="s">
        <v>264</v>
      </c>
      <c r="J57" s="6"/>
      <c r="K57" s="6"/>
      <c r="L57" s="6"/>
      <c r="AU57" s="4"/>
      <c r="AV57" s="1"/>
      <c r="AW57" s="1"/>
      <c r="AX57" s="1"/>
      <c r="BE57" s="2" t="str">
        <f>_xlfn.CONCAT(Table1[[#This Row],[GasRate]]," + ",Table1[[#This Row],[LaborFeeLeaseRate]])</f>
        <v xml:space="preserve"> + $ /Gal.</v>
      </c>
      <c r="BF57" s="2" t="str">
        <f>_xlfn.CONCAT(Table1[[#This Row],[DieselRate]]," + ",Table1[[#This Row],[LaborFeeLeaseRate]])</f>
        <v xml:space="preserve"> + $ /Gal.</v>
      </c>
      <c r="BG57" s="2" t="str">
        <f>_xlfn.CONCAT("$ ",Table1[[#This Row],[LaborFeeLease]],"/Gal.")</f>
        <v>$ /Gal.</v>
      </c>
      <c r="CH57" s="2">
        <f>Table1[[#This Row],[JeffCombineFees]]+Table1[[#This Row],[ZackCombineFees]]</f>
        <v>0</v>
      </c>
      <c r="CI57" s="2">
        <f>SUM(Table1[[#This Row],[LeaseGasolineTotal]:[CombineFeesTotal]])</f>
        <v>0</v>
      </c>
    </row>
    <row r="58" spans="1:87" x14ac:dyDescent="0.35">
      <c r="A58" s="2">
        <v>26</v>
      </c>
      <c r="B58" s="2" t="s">
        <v>284</v>
      </c>
      <c r="C58" s="2" t="s">
        <v>217</v>
      </c>
      <c r="E58" s="2" t="s">
        <v>161</v>
      </c>
      <c r="F58" s="2" t="s">
        <v>159</v>
      </c>
      <c r="G58" s="2" t="s">
        <v>152</v>
      </c>
      <c r="H58" s="2" t="s">
        <v>268</v>
      </c>
      <c r="I58" s="2" t="s">
        <v>267</v>
      </c>
      <c r="J58" s="6"/>
      <c r="K58" s="6"/>
      <c r="L58" s="6"/>
      <c r="AU58" s="4"/>
      <c r="AV58" s="1"/>
      <c r="AW58" s="1"/>
      <c r="AX58" s="1"/>
      <c r="BE58" s="2" t="str">
        <f>_xlfn.CONCAT(Table1[[#This Row],[GasRate]]," + ",Table1[[#This Row],[LaborFeeLeaseRate]])</f>
        <v xml:space="preserve"> + $ /Gal.</v>
      </c>
      <c r="BF58" s="2" t="str">
        <f>_xlfn.CONCAT(Table1[[#This Row],[DieselRate]]," + ",Table1[[#This Row],[LaborFeeLeaseRate]])</f>
        <v xml:space="preserve"> + $ /Gal.</v>
      </c>
      <c r="BG58" s="2" t="str">
        <f>_xlfn.CONCAT("$ ",Table1[[#This Row],[LaborFeeLease]],"/Gal.")</f>
        <v>$ /Gal.</v>
      </c>
      <c r="CH58" s="2">
        <f>Table1[[#This Row],[JeffCombineFees]]+Table1[[#This Row],[ZackCombineFees]]</f>
        <v>0</v>
      </c>
      <c r="CI58" s="2">
        <f>SUM(Table1[[#This Row],[LeaseGasolineTotal]:[CombineFeesTotal]])</f>
        <v>0</v>
      </c>
    </row>
  </sheetData>
  <phoneticPr fontId="1" type="noConversion"/>
  <hyperlinks>
    <hyperlink ref="I26" r:id="rId1" display="mailto:nlhoover@iastate.edu" xr:uid="{31207EB9-D801-4DB1-9AF3-36D81C116010}"/>
    <hyperlink ref="I19" r:id="rId2" display="mailto:marsh@iastate.edu" xr:uid="{85976FA0-2E6D-4106-99EC-27B53A179F77}"/>
    <hyperlink ref="I27" r:id="rId3" display="mailto:rtroth@iastate.edu" xr:uid="{3EE1BF96-8C62-4333-86BD-906DCDBE1562}"/>
    <hyperlink ref="I32" r:id="rId4" display="mailto:sarias@iastate.edu" xr:uid="{4A9D21D1-4A83-4D2B-8071-72A78988A53C}"/>
    <hyperlink ref="I11" r:id="rId5" display="mailto:gregvn@iastate.edu" xr:uid="{195EBF91-5243-4C46-9F25-E192581D87E0}"/>
    <hyperlink ref="I22" r:id="rId6" display="mailto:mwoods@iastate.edu" xr:uid="{E177C7DD-B796-4CBE-996D-6901C70B673E}"/>
    <hyperlink ref="I30" r:id="rId7" display="mailto:rhintz@iastate.edu" xr:uid="{A82A8101-AF2C-42F2-81AA-4E76A209B6A3}"/>
    <hyperlink ref="I7" r:id="rId8" display="mailto:dfranzen@iastate.edu" xr:uid="{A310327B-84AA-46FC-BD3E-B91C9FE230D3}"/>
    <hyperlink ref="I15" r:id="rId9" display="mailto:krberns@iastate.edu" xr:uid="{55F8A32C-59C4-459F-9D4A-1F3E7168503A}"/>
    <hyperlink ref="I34" r:id="rId10" display="mailto:stevenh1@iastate.edu" xr:uid="{7A7042BB-97A3-4580-AC05-F7753CFB65EB}"/>
    <hyperlink ref="I4" r:id="rId11" display="mailto:andreaw1@iastate.edu" xr:uid="{DE471FAE-461C-4458-991D-A90A7083039D}"/>
    <hyperlink ref="I36" r:id="rId12" xr:uid="{3E61034C-6FEE-471B-91F0-E6A472F4ED4B}"/>
    <hyperlink ref="I39" r:id="rId13" display="mailto:ewh@iastate.edu" xr:uid="{F37F4A16-84A4-4680-98CE-355500C93C16}"/>
    <hyperlink ref="I41" r:id="rId14" xr:uid="{DB5CA359-2A6F-48AD-A7F4-1F019D3A1825}"/>
    <hyperlink ref="I42" r:id="rId15" display="mailto:schnable@iastate.edu" xr:uid="{5928C45F-7339-4829-86D6-7806CBEB9F33}"/>
    <hyperlink ref="I38" r:id="rId16" display="mailto:rjbudnik@iastate.edu" xr:uid="{A17270B1-A093-4DF2-A03C-9981839B525B}"/>
    <hyperlink ref="I43" r:id="rId17" xr:uid="{47F9A7AB-2FFC-4DF0-A776-563744CA093E}"/>
    <hyperlink ref="I44" r:id="rId18" xr:uid="{E21FA664-B951-4222-871D-A524A6FBC79E}"/>
    <hyperlink ref="I45" r:id="rId19" xr:uid="{193B7967-BF5B-49E7-ABC5-A801535EACD2}"/>
    <hyperlink ref="I46" r:id="rId20" xr:uid="{EE808834-46B4-4B7A-95D6-E8A6FE0EF2A6}"/>
    <hyperlink ref="I47" r:id="rId21" xr:uid="{B0F66D10-132C-412E-8B6E-12388C85F890}"/>
    <hyperlink ref="I48" r:id="rId22" xr:uid="{ACF76A59-D786-4C3B-B068-621959342933}"/>
    <hyperlink ref="I49" r:id="rId23" xr:uid="{FFC7739B-113B-443A-99DB-41638E26147C}"/>
    <hyperlink ref="I50" r:id="rId24" display="mailto:sbakshi@iastate.edu" xr:uid="{4473478F-6EDB-4D3B-9B3D-971D71BE44DB}"/>
    <hyperlink ref="I51" r:id="rId25" display="mailto:cabel@iastate.edu" xr:uid="{4853F6F5-46AA-412B-8CEE-74BED60D4675}"/>
    <hyperlink ref="I54" r:id="rId26" xr:uid="{3E6C7DC7-26ED-4F62-B0A4-9CDACFD66173}"/>
  </hyperlinks>
  <pageMargins left="0.7" right="0.7" top="0.75" bottom="0.75" header="0.3" footer="0.3"/>
  <pageSetup orientation="portrait" horizontalDpi="300" verticalDpi="300" r:id="rId27"/>
  <tableParts count="1">
    <tablePart r:id="rId2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828BB7517C9946AB00E30E46AD6747" ma:contentTypeVersion="10" ma:contentTypeDescription="Create a new document." ma:contentTypeScope="" ma:versionID="0496b85a73431cce43c5ae3a578f354f">
  <xsd:schema xmlns:xsd="http://www.w3.org/2001/XMLSchema" xmlns:xs="http://www.w3.org/2001/XMLSchema" xmlns:p="http://schemas.microsoft.com/office/2006/metadata/properties" xmlns:ns2="15ad69f5-6732-4122-b091-82206d2ae624" targetNamespace="http://schemas.microsoft.com/office/2006/metadata/properties" ma:root="true" ma:fieldsID="aaca2bf92d824d6360da4b89fc79525e" ns2:_="">
    <xsd:import namespace="15ad69f5-6732-4122-b091-82206d2ae6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ad69f5-6732-4122-b091-82206d2ae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ad69f5-6732-4122-b091-82206d2ae62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13358B-1D89-4EA6-917E-25E1DC2C7C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ad69f5-6732-4122-b091-82206d2ae6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FEC606-0D10-46CE-9E99-6CB93CF27BDD}">
  <ds:schemaRefs>
    <ds:schemaRef ds:uri="http://schemas.microsoft.com/office/2006/metadata/properties"/>
    <ds:schemaRef ds:uri="http://schemas.microsoft.com/office/infopath/2007/PartnerControls"/>
    <ds:schemaRef ds:uri="15ad69f5-6732-4122-b091-82206d2ae624"/>
  </ds:schemaRefs>
</ds:datastoreItem>
</file>

<file path=customXml/itemProps3.xml><?xml version="1.0" encoding="utf-8"?>
<ds:datastoreItem xmlns:ds="http://schemas.openxmlformats.org/officeDocument/2006/customXml" ds:itemID="{891895D9-50BE-4406-B08C-BB54AF7557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Lamkey, Jacob [ISRF]</dc:creator>
  <cp:keywords/>
  <dc:description/>
  <cp:lastModifiedBy>Lamkey, Jacob [ISRF]</cp:lastModifiedBy>
  <cp:revision/>
  <dcterms:created xsi:type="dcterms:W3CDTF">2025-01-22T20:51:30Z</dcterms:created>
  <dcterms:modified xsi:type="dcterms:W3CDTF">2026-04-28T15:04:45Z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0x0101004D828BB7517C9946AB00E30E46AD6747</vt:lpwstr>
  </property>
  <property fmtid="{D5CDD505-2E9C-101B-9397-08002B2CF9AE}" pid="3" name="MediaServiceImageTags">
    <vt:lpwstr/>
  </property>
</Properties>
</file>